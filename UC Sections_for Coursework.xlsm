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nn\Desktop\"/>
    </mc:Choice>
  </mc:AlternateContent>
  <xr:revisionPtr revIDLastSave="0" documentId="13_ncr:1_{4E00CACE-313E-438E-AF27-C8431253F347}" xr6:coauthVersionLast="47" xr6:coauthVersionMax="47" xr10:uidLastSave="{00000000-0000-0000-0000-000000000000}"/>
  <bookViews>
    <workbookView xWindow="-98" yWindow="-98" windowWidth="21795" windowHeight="13096" activeTab="2" xr2:uid="{D76CB384-E53B-409A-A5DE-4B1397396E67}"/>
  </bookViews>
  <sheets>
    <sheet name="UC" sheetId="1" r:id="rId1"/>
    <sheet name="Steel" sheetId="2" r:id="rId2"/>
    <sheet name="Part 1" sheetId="3" r:id="rId3"/>
    <sheet name="Part2" sheetId="5" r:id="rId4"/>
  </sheets>
  <functionGroups builtInGroupCount="19"/>
  <definedNames>
    <definedName name="Lcr">'Part 1'!$S$9:$U$10</definedName>
    <definedName name="UCDC" localSheetId="3">Part2!$A$7:$U$38</definedName>
    <definedName name="UCDC">UC!$A$7:$U$38</definedName>
    <definedName name="ucsection" localSheetId="3">Part2!$A$7:$A$38</definedName>
    <definedName name="ucsection">UC!$A$7:$A$38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9" i="5" l="1"/>
  <c r="AG40" i="5" s="1"/>
  <c r="AF39" i="5"/>
  <c r="AH39" i="5"/>
  <c r="AH40" i="5" s="1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8" i="5"/>
  <c r="W9" i="5"/>
  <c r="X9" i="5" s="1"/>
  <c r="W10" i="5"/>
  <c r="X10" i="5" s="1"/>
  <c r="W11" i="5"/>
  <c r="X11" i="5" s="1"/>
  <c r="W12" i="5"/>
  <c r="X12" i="5" s="1"/>
  <c r="W13" i="5"/>
  <c r="X13" i="5" s="1"/>
  <c r="W14" i="5"/>
  <c r="X14" i="5" s="1"/>
  <c r="W15" i="5"/>
  <c r="X15" i="5" s="1"/>
  <c r="W16" i="5"/>
  <c r="X16" i="5" s="1"/>
  <c r="W17" i="5"/>
  <c r="X17" i="5" s="1"/>
  <c r="W18" i="5"/>
  <c r="X18" i="5" s="1"/>
  <c r="W19" i="5"/>
  <c r="X19" i="5" s="1"/>
  <c r="W20" i="5"/>
  <c r="X20" i="5" s="1"/>
  <c r="W21" i="5"/>
  <c r="X21" i="5" s="1"/>
  <c r="W22" i="5"/>
  <c r="X22" i="5" s="1"/>
  <c r="W23" i="5"/>
  <c r="X23" i="5" s="1"/>
  <c r="W24" i="5"/>
  <c r="X24" i="5" s="1"/>
  <c r="W25" i="5"/>
  <c r="X25" i="5" s="1"/>
  <c r="W26" i="5"/>
  <c r="X26" i="5" s="1"/>
  <c r="W27" i="5"/>
  <c r="X27" i="5" s="1"/>
  <c r="W28" i="5"/>
  <c r="X28" i="5" s="1"/>
  <c r="W29" i="5"/>
  <c r="X29" i="5" s="1"/>
  <c r="W30" i="5"/>
  <c r="X30" i="5" s="1"/>
  <c r="W31" i="5"/>
  <c r="X31" i="5" s="1"/>
  <c r="W32" i="5"/>
  <c r="X32" i="5" s="1"/>
  <c r="W33" i="5"/>
  <c r="X33" i="5" s="1"/>
  <c r="W34" i="5"/>
  <c r="X34" i="5" s="1"/>
  <c r="W35" i="5"/>
  <c r="X35" i="5" s="1"/>
  <c r="W36" i="5"/>
  <c r="X36" i="5" s="1"/>
  <c r="W37" i="5"/>
  <c r="X37" i="5" s="1"/>
  <c r="W38" i="5"/>
  <c r="X38" i="5" s="1"/>
  <c r="W8" i="5"/>
  <c r="X8" i="5" s="1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F16" i="3"/>
  <c r="G16" i="3"/>
  <c r="H16" i="3"/>
  <c r="I16" i="3"/>
  <c r="J16" i="3"/>
  <c r="L16" i="3"/>
  <c r="M16" i="3"/>
  <c r="E21" i="3"/>
  <c r="Z32" i="5" l="1"/>
  <c r="AB32" i="5" s="1"/>
  <c r="AC32" i="5" s="1"/>
  <c r="AD32" i="5" s="1"/>
  <c r="AE32" i="5" s="1"/>
  <c r="Z31" i="5"/>
  <c r="AB31" i="5" s="1"/>
  <c r="AC31" i="5" s="1"/>
  <c r="AD31" i="5" s="1"/>
  <c r="AE31" i="5" s="1"/>
  <c r="Z15" i="5"/>
  <c r="AB15" i="5" s="1"/>
  <c r="AC15" i="5" s="1"/>
  <c r="AD15" i="5" s="1"/>
  <c r="AE15" i="5" s="1"/>
  <c r="Z30" i="5"/>
  <c r="AB30" i="5" s="1"/>
  <c r="AC30" i="5" s="1"/>
  <c r="AD30" i="5" s="1"/>
  <c r="AE30" i="5" s="1"/>
  <c r="Z14" i="5"/>
  <c r="AB14" i="5" s="1"/>
  <c r="AC14" i="5" s="1"/>
  <c r="AD14" i="5" s="1"/>
  <c r="AE14" i="5" s="1"/>
  <c r="Z29" i="5"/>
  <c r="AB29" i="5" s="1"/>
  <c r="AC29" i="5" s="1"/>
  <c r="AD29" i="5" s="1"/>
  <c r="AE29" i="5" s="1"/>
  <c r="Z13" i="5"/>
  <c r="AB13" i="5" s="1"/>
  <c r="AC13" i="5" s="1"/>
  <c r="AD13" i="5" s="1"/>
  <c r="AE13" i="5" s="1"/>
  <c r="Z28" i="5"/>
  <c r="AB28" i="5" s="1"/>
  <c r="AC28" i="5" s="1"/>
  <c r="AD28" i="5" s="1"/>
  <c r="AE28" i="5" s="1"/>
  <c r="Z12" i="5"/>
  <c r="AB12" i="5" s="1"/>
  <c r="AC12" i="5" s="1"/>
  <c r="AD12" i="5" s="1"/>
  <c r="AE12" i="5" s="1"/>
  <c r="Z27" i="5"/>
  <c r="AB27" i="5" s="1"/>
  <c r="AC27" i="5" s="1"/>
  <c r="AD27" i="5" s="1"/>
  <c r="AE27" i="5" s="1"/>
  <c r="Z11" i="5"/>
  <c r="AB11" i="5" s="1"/>
  <c r="AC11" i="5" s="1"/>
  <c r="AD11" i="5" s="1"/>
  <c r="AE11" i="5" s="1"/>
  <c r="Z26" i="5"/>
  <c r="AB26" i="5" s="1"/>
  <c r="AC26" i="5" s="1"/>
  <c r="AD26" i="5" s="1"/>
  <c r="AE26" i="5" s="1"/>
  <c r="Z33" i="5"/>
  <c r="AB33" i="5" s="1"/>
  <c r="AC33" i="5" s="1"/>
  <c r="AD33" i="5" s="1"/>
  <c r="AE33" i="5" s="1"/>
  <c r="Z8" i="5"/>
  <c r="AB8" i="5" s="1"/>
  <c r="AC8" i="5" s="1"/>
  <c r="AD8" i="5" s="1"/>
  <c r="AF40" i="5"/>
  <c r="AD5" i="5" s="1"/>
  <c r="AD3" i="5"/>
  <c r="Z17" i="5"/>
  <c r="AB17" i="5" s="1"/>
  <c r="AC17" i="5" s="1"/>
  <c r="AD17" i="5" s="1"/>
  <c r="Z16" i="5"/>
  <c r="AB16" i="5" s="1"/>
  <c r="AC16" i="5" s="1"/>
  <c r="AD16" i="5" s="1"/>
  <c r="Z25" i="5"/>
  <c r="AB25" i="5" s="1"/>
  <c r="AC25" i="5" s="1"/>
  <c r="AD25" i="5" s="1"/>
  <c r="Z21" i="5"/>
  <c r="AB21" i="5" s="1"/>
  <c r="AC21" i="5" s="1"/>
  <c r="AD21" i="5" s="1"/>
  <c r="Z20" i="5"/>
  <c r="AB20" i="5" s="1"/>
  <c r="AC20" i="5" s="1"/>
  <c r="AD20" i="5" s="1"/>
  <c r="Z18" i="5"/>
  <c r="AB18" i="5" s="1"/>
  <c r="AC18" i="5" s="1"/>
  <c r="AD18" i="5" s="1"/>
  <c r="Z24" i="5"/>
  <c r="AB24" i="5" s="1"/>
  <c r="AC24" i="5" s="1"/>
  <c r="AD24" i="5" s="1"/>
  <c r="Z23" i="5"/>
  <c r="AB23" i="5" s="1"/>
  <c r="AC23" i="5" s="1"/>
  <c r="AD23" i="5" s="1"/>
  <c r="Z38" i="5"/>
  <c r="AB38" i="5" s="1"/>
  <c r="AC38" i="5" s="1"/>
  <c r="AD38" i="5" s="1"/>
  <c r="Z36" i="5"/>
  <c r="AB36" i="5" s="1"/>
  <c r="AC36" i="5" s="1"/>
  <c r="AD36" i="5" s="1"/>
  <c r="Z19" i="5"/>
  <c r="AB19" i="5" s="1"/>
  <c r="AC19" i="5" s="1"/>
  <c r="AD19" i="5" s="1"/>
  <c r="Z22" i="5"/>
  <c r="AB22" i="5" s="1"/>
  <c r="AC22" i="5" s="1"/>
  <c r="AD22" i="5" s="1"/>
  <c r="Z37" i="5"/>
  <c r="AB37" i="5" s="1"/>
  <c r="AC37" i="5" s="1"/>
  <c r="AD37" i="5" s="1"/>
  <c r="Z34" i="5"/>
  <c r="AB34" i="5" s="1"/>
  <c r="AC34" i="5" s="1"/>
  <c r="AD34" i="5" s="1"/>
  <c r="Z10" i="5"/>
  <c r="AB10" i="5" s="1"/>
  <c r="AC10" i="5" s="1"/>
  <c r="AD10" i="5" s="1"/>
  <c r="Z35" i="5"/>
  <c r="AB35" i="5" s="1"/>
  <c r="AC35" i="5" s="1"/>
  <c r="AD35" i="5" s="1"/>
  <c r="Z9" i="5"/>
  <c r="AB9" i="5" s="1"/>
  <c r="AC9" i="5" s="1"/>
  <c r="AD9" i="5" s="1"/>
  <c r="K16" i="3"/>
  <c r="N16" i="3" s="1"/>
  <c r="E25" i="3"/>
  <c r="J21" i="3"/>
  <c r="J25" i="3" s="1"/>
  <c r="O21" i="3"/>
  <c r="O25" i="3" s="1"/>
  <c r="E20" i="3"/>
  <c r="AE38" i="5" l="1"/>
  <c r="AE37" i="5"/>
  <c r="AE36" i="5"/>
  <c r="AE35" i="5"/>
  <c r="AE34" i="5"/>
  <c r="AE25" i="5"/>
  <c r="AE24" i="5"/>
  <c r="AE23" i="5"/>
  <c r="AE22" i="5"/>
  <c r="AE21" i="5"/>
  <c r="AE20" i="5"/>
  <c r="AE19" i="5"/>
  <c r="AE18" i="5"/>
  <c r="AE17" i="5"/>
  <c r="AE16" i="5"/>
  <c r="AE10" i="5"/>
  <c r="AE9" i="5"/>
  <c r="AE8" i="5"/>
  <c r="E23" i="3"/>
  <c r="E24" i="3" s="1"/>
  <c r="E26" i="3" s="1"/>
  <c r="U6" i="3"/>
  <c r="J20" i="3"/>
  <c r="J23" i="3" s="1"/>
  <c r="J24" i="3" s="1"/>
  <c r="J26" i="3" s="1"/>
  <c r="O20" i="3"/>
  <c r="O23" i="3" s="1"/>
  <c r="O24" i="3" s="1"/>
  <c r="O26" i="3" s="1"/>
  <c r="V6" i="3"/>
  <c r="T6" i="3"/>
  <c r="O27" i="3" l="1"/>
  <c r="O28" i="3" s="1"/>
  <c r="O29" i="3" s="1"/>
  <c r="E27" i="3"/>
  <c r="J27" i="3"/>
  <c r="J28" i="3" s="1"/>
  <c r="J29" i="3" s="1"/>
  <c r="E28" i="3" l="1"/>
  <c r="E29" i="3" s="1"/>
</calcChain>
</file>

<file path=xl/sharedStrings.xml><?xml version="1.0" encoding="utf-8"?>
<sst xmlns="http://schemas.openxmlformats.org/spreadsheetml/2006/main" count="401" uniqueCount="168">
  <si>
    <t>Section</t>
  </si>
  <si>
    <t>Mass</t>
  </si>
  <si>
    <t>Depth</t>
  </si>
  <si>
    <t>Width</t>
  </si>
  <si>
    <t>Thickness</t>
  </si>
  <si>
    <t>Root</t>
  </si>
  <si>
    <t xml:space="preserve">Second Moment </t>
  </si>
  <si>
    <t>Radius of</t>
  </si>
  <si>
    <t>Elastic</t>
  </si>
  <si>
    <t>Plastic</t>
  </si>
  <si>
    <t>Buckling</t>
  </si>
  <si>
    <t xml:space="preserve">Torsional </t>
  </si>
  <si>
    <t xml:space="preserve">Warping </t>
  </si>
  <si>
    <t>Torsional</t>
  </si>
  <si>
    <t>Area</t>
  </si>
  <si>
    <t xml:space="preserve"> Designation</t>
  </si>
  <si>
    <t>per</t>
  </si>
  <si>
    <t>of</t>
  </si>
  <si>
    <t>Web</t>
  </si>
  <si>
    <t>Flange</t>
  </si>
  <si>
    <t>Radius</t>
  </si>
  <si>
    <t>Between</t>
  </si>
  <si>
    <t>of Area</t>
  </si>
  <si>
    <t>Gyration</t>
  </si>
  <si>
    <t>Modulus</t>
  </si>
  <si>
    <t>Parameter</t>
  </si>
  <si>
    <t>Index</t>
  </si>
  <si>
    <t>Constant</t>
  </si>
  <si>
    <t>Metre</t>
  </si>
  <si>
    <t>Fillets</t>
  </si>
  <si>
    <t>Axis</t>
  </si>
  <si>
    <t>UC</t>
  </si>
  <si>
    <t>y-y</t>
  </si>
  <si>
    <t>z-z</t>
  </si>
  <si>
    <t>h</t>
  </si>
  <si>
    <r>
      <t>t</t>
    </r>
    <r>
      <rPr>
        <vertAlign val="subscript"/>
        <sz val="10"/>
        <rFont val="Arial"/>
        <family val="2"/>
      </rPr>
      <t>w</t>
    </r>
  </si>
  <si>
    <r>
      <t>t</t>
    </r>
    <r>
      <rPr>
        <vertAlign val="subscript"/>
        <sz val="10"/>
        <rFont val="Arial"/>
        <family val="2"/>
      </rPr>
      <t>f</t>
    </r>
  </si>
  <si>
    <t>r</t>
  </si>
  <si>
    <t>d</t>
  </si>
  <si>
    <t>I</t>
  </si>
  <si>
    <t xml:space="preserve">i </t>
  </si>
  <si>
    <t>i</t>
  </si>
  <si>
    <r>
      <t>W</t>
    </r>
    <r>
      <rPr>
        <vertAlign val="subscript"/>
        <sz val="10"/>
        <rFont val="Arial"/>
        <family val="2"/>
      </rPr>
      <t>el</t>
    </r>
  </si>
  <si>
    <r>
      <t>W</t>
    </r>
    <r>
      <rPr>
        <vertAlign val="subscript"/>
        <sz val="10"/>
        <rFont val="Arial"/>
        <family val="2"/>
      </rPr>
      <t>pl</t>
    </r>
  </si>
  <si>
    <t>u</t>
  </si>
  <si>
    <t>x</t>
  </si>
  <si>
    <r>
      <t>I</t>
    </r>
    <r>
      <rPr>
        <vertAlign val="subscript"/>
        <sz val="10"/>
        <rFont val="Arial"/>
        <family val="2"/>
      </rPr>
      <t>w</t>
    </r>
  </si>
  <si>
    <r>
      <t>I</t>
    </r>
    <r>
      <rPr>
        <vertAlign val="subscript"/>
        <sz val="10"/>
        <rFont val="Arial"/>
        <family val="2"/>
      </rPr>
      <t>T</t>
    </r>
  </si>
  <si>
    <t>A</t>
  </si>
  <si>
    <t>kg/m</t>
  </si>
  <si>
    <t>mm</t>
  </si>
  <si>
    <r>
      <t>cm</t>
    </r>
    <r>
      <rPr>
        <vertAlign val="superscript"/>
        <sz val="10"/>
        <rFont val="Arial"/>
        <family val="2"/>
      </rPr>
      <t>4</t>
    </r>
  </si>
  <si>
    <t>cm</t>
  </si>
  <si>
    <r>
      <t>cm</t>
    </r>
    <r>
      <rPr>
        <vertAlign val="superscript"/>
        <sz val="10"/>
        <rFont val="Arial"/>
        <family val="2"/>
      </rPr>
      <t>3</t>
    </r>
  </si>
  <si>
    <r>
      <t>dm</t>
    </r>
    <r>
      <rPr>
        <vertAlign val="superscript"/>
        <sz val="10"/>
        <rFont val="Arial"/>
        <family val="2"/>
      </rPr>
      <t>6</t>
    </r>
  </si>
  <si>
    <r>
      <t>cm</t>
    </r>
    <r>
      <rPr>
        <vertAlign val="superscript"/>
        <sz val="10"/>
        <rFont val="Arial"/>
        <family val="2"/>
      </rPr>
      <t>2</t>
    </r>
  </si>
  <si>
    <t>356 x 406 x 634</t>
  </si>
  <si>
    <t>356 x 406 x 551</t>
  </si>
  <si>
    <t>356 x 406 x 467</t>
  </si>
  <si>
    <t>356 x 406 x 393</t>
  </si>
  <si>
    <t>356 x 406 x 340</t>
  </si>
  <si>
    <t>356 x 406 x 287</t>
  </si>
  <si>
    <t>356 x 406 x 235</t>
  </si>
  <si>
    <t>356 x 368 x 202</t>
  </si>
  <si>
    <t>356 x 368 x 177</t>
  </si>
  <si>
    <t>356 x 368 x 153</t>
  </si>
  <si>
    <t>356 x 368 x 129</t>
  </si>
  <si>
    <t>305 x 305 x 283</t>
  </si>
  <si>
    <t>305 x 305 x 240</t>
  </si>
  <si>
    <t>305 x 305 x 198</t>
  </si>
  <si>
    <t>305 x 305 x 158</t>
  </si>
  <si>
    <t>305 x 305 x 137</t>
  </si>
  <si>
    <t>305 x 305 x 118</t>
  </si>
  <si>
    <t>305 x 305 x 97</t>
  </si>
  <si>
    <t>254 x 254 x 167</t>
  </si>
  <si>
    <t>254 x 254 x 132</t>
  </si>
  <si>
    <t>254 x 254 x 107</t>
  </si>
  <si>
    <t>254 x 254 x 89</t>
  </si>
  <si>
    <t>254 x 254 x 73</t>
  </si>
  <si>
    <t>203 x 203 x 86</t>
  </si>
  <si>
    <t>203 x 203 x 71</t>
  </si>
  <si>
    <t>203 x 203 x 60</t>
  </si>
  <si>
    <t>203 x 203 x 52</t>
  </si>
  <si>
    <t>203 x 203 x 46</t>
  </si>
  <si>
    <t>152 x 152 x 37</t>
  </si>
  <si>
    <t>152 x 152 x 30</t>
  </si>
  <si>
    <t>152 x 152 x 23</t>
  </si>
  <si>
    <t>Grade</t>
  </si>
  <si>
    <t>S235</t>
  </si>
  <si>
    <t>S275</t>
  </si>
  <si>
    <t>S355</t>
  </si>
  <si>
    <t>tWeb</t>
  </si>
  <si>
    <t>tFlange</t>
  </si>
  <si>
    <t>Iyy</t>
  </si>
  <si>
    <t>Izz</t>
  </si>
  <si>
    <t>ryy</t>
  </si>
  <si>
    <t>rzz</t>
  </si>
  <si>
    <t>Welyy</t>
  </si>
  <si>
    <t>Welzz</t>
  </si>
  <si>
    <t>Wplyy</t>
  </si>
  <si>
    <t>Wplzz</t>
  </si>
  <si>
    <t>Iw</t>
  </si>
  <si>
    <t>It</t>
  </si>
  <si>
    <t>b</t>
  </si>
  <si>
    <t xml:space="preserve">Fy </t>
  </si>
  <si>
    <t>(N/mm2)</t>
  </si>
  <si>
    <t xml:space="preserve">Cost </t>
  </si>
  <si>
    <t>(USD)</t>
  </si>
  <si>
    <t>UC</t>
    <phoneticPr fontId="6" type="noConversion"/>
  </si>
  <si>
    <t>Section</t>
    <phoneticPr fontId="6" type="noConversion"/>
  </si>
  <si>
    <t>Designation</t>
    <phoneticPr fontId="6" type="noConversion"/>
  </si>
  <si>
    <t>Thickness</t>
    <phoneticPr fontId="6" type="noConversion"/>
  </si>
  <si>
    <t>Web</t>
    <phoneticPr fontId="6" type="noConversion"/>
  </si>
  <si>
    <t>Flange</t>
    <phoneticPr fontId="6" type="noConversion"/>
  </si>
  <si>
    <t>tw</t>
    <phoneticPr fontId="6" type="noConversion"/>
  </si>
  <si>
    <t>tf</t>
    <phoneticPr fontId="6" type="noConversion"/>
  </si>
  <si>
    <t>r</t>
    <phoneticPr fontId="6" type="noConversion"/>
  </si>
  <si>
    <t>tWeb</t>
    <phoneticPr fontId="6" type="noConversion"/>
  </si>
  <si>
    <t>tFlange</t>
    <phoneticPr fontId="6" type="noConversion"/>
  </si>
  <si>
    <t>Radius</t>
    <phoneticPr fontId="6" type="noConversion"/>
  </si>
  <si>
    <t>mm</t>
    <phoneticPr fontId="6" type="noConversion"/>
  </si>
  <si>
    <t>fy</t>
  </si>
  <si>
    <t>fy</t>
    <phoneticPr fontId="6" type="noConversion"/>
  </si>
  <si>
    <t>Steel Grade</t>
    <phoneticPr fontId="6" type="noConversion"/>
  </si>
  <si>
    <t>S275</t>
    <phoneticPr fontId="6" type="noConversion"/>
  </si>
  <si>
    <t>S355</t>
    <phoneticPr fontId="6" type="noConversion"/>
  </si>
  <si>
    <t xml:space="preserve">  S235</t>
    <phoneticPr fontId="6" type="noConversion"/>
  </si>
  <si>
    <t>fy(N/mm2)</t>
    <phoneticPr fontId="6" type="noConversion"/>
  </si>
  <si>
    <t>h</t>
    <phoneticPr fontId="6" type="noConversion"/>
  </si>
  <si>
    <t>b</t>
    <phoneticPr fontId="6" type="noConversion"/>
  </si>
  <si>
    <t>Depth</t>
    <phoneticPr fontId="6" type="noConversion"/>
  </si>
  <si>
    <t>Width</t>
    <phoneticPr fontId="6" type="noConversion"/>
  </si>
  <si>
    <t>h/b</t>
    <phoneticPr fontId="6" type="noConversion"/>
  </si>
  <si>
    <t>Depth/Width</t>
  </si>
  <si>
    <t>α</t>
    <phoneticPr fontId="6" type="noConversion"/>
  </si>
  <si>
    <t>φ</t>
  </si>
  <si>
    <t>φ</t>
    <phoneticPr fontId="6" type="noConversion"/>
  </si>
  <si>
    <t>λ</t>
  </si>
  <si>
    <t>λ</t>
    <phoneticPr fontId="6" type="noConversion"/>
  </si>
  <si>
    <t>λ-</t>
  </si>
  <si>
    <t>λ-</t>
    <phoneticPr fontId="6" type="noConversion"/>
  </si>
  <si>
    <r>
      <t>L</t>
    </r>
    <r>
      <rPr>
        <vertAlign val="subscript"/>
        <sz val="11"/>
        <color theme="1"/>
        <rFont val="等线"/>
        <family val="3"/>
        <charset val="134"/>
        <scheme val="minor"/>
      </rPr>
      <t>cr</t>
    </r>
    <phoneticPr fontId="6" type="noConversion"/>
  </si>
  <si>
    <t>i</t>
    <phoneticPr fontId="6" type="noConversion"/>
  </si>
  <si>
    <t>ε</t>
  </si>
  <si>
    <t>ε</t>
    <phoneticPr fontId="6" type="noConversion"/>
  </si>
  <si>
    <t>S235</t>
    <phoneticPr fontId="6" type="noConversion"/>
  </si>
  <si>
    <t>λ1</t>
  </si>
  <si>
    <t>λ1</t>
    <phoneticPr fontId="6" type="noConversion"/>
  </si>
  <si>
    <t>χ</t>
  </si>
  <si>
    <t>χ</t>
    <phoneticPr fontId="6" type="noConversion"/>
  </si>
  <si>
    <t>A</t>
    <phoneticPr fontId="6" type="noConversion"/>
  </si>
  <si>
    <t>Area</t>
    <phoneticPr fontId="6" type="noConversion"/>
  </si>
  <si>
    <t>cm</t>
    <phoneticPr fontId="6" type="noConversion"/>
  </si>
  <si>
    <t>Lcr</t>
    <phoneticPr fontId="6" type="noConversion"/>
  </si>
  <si>
    <t xml:space="preserve">Lcr  </t>
    <phoneticPr fontId="6" type="noConversion"/>
  </si>
  <si>
    <t>Recommendation Steel Grade</t>
    <phoneticPr fontId="6" type="noConversion"/>
  </si>
  <si>
    <t>Grade Section</t>
    <phoneticPr fontId="6" type="noConversion"/>
  </si>
  <si>
    <t>Root</t>
    <phoneticPr fontId="6" type="noConversion"/>
  </si>
  <si>
    <t>of</t>
    <phoneticPr fontId="6" type="noConversion"/>
  </si>
  <si>
    <t>Depth/</t>
    <phoneticPr fontId="6" type="noConversion"/>
  </si>
  <si>
    <t>Gyration</t>
    <phoneticPr fontId="6" type="noConversion"/>
  </si>
  <si>
    <t xml:space="preserve">Part 1 :steel basic parameters </t>
    <phoneticPr fontId="6" type="noConversion"/>
  </si>
  <si>
    <t xml:space="preserve">Part 2 steel Buckling Resistance under compression </t>
    <phoneticPr fontId="6" type="noConversion"/>
  </si>
  <si>
    <r>
      <t>L</t>
    </r>
    <r>
      <rPr>
        <vertAlign val="subscript"/>
        <sz val="12"/>
        <color theme="1"/>
        <rFont val="Arial"/>
        <family val="2"/>
      </rPr>
      <t xml:space="preserve">cr  </t>
    </r>
    <phoneticPr fontId="6" type="noConversion"/>
  </si>
  <si>
    <r>
      <t>N</t>
    </r>
    <r>
      <rPr>
        <vertAlign val="subscript"/>
        <sz val="12"/>
        <color theme="1"/>
        <rFont val="Arial"/>
        <family val="2"/>
      </rPr>
      <t>b,Rd</t>
    </r>
    <phoneticPr fontId="6" type="noConversion"/>
  </si>
  <si>
    <t>Nb,Rd</t>
    <phoneticPr fontId="6" type="noConversion"/>
  </si>
  <si>
    <t>是否承重</t>
    <phoneticPr fontId="6" type="noConversion"/>
  </si>
  <si>
    <t>PRICE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</si>
</sst>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0"/>
    <numFmt numFmtId="178" formatCode="0.0000"/>
  </numFmts>
  <fonts count="17" x14ac:knownFonts="1">
    <font>
      <sz val="11"/>
      <color theme="1"/>
      <name val="等线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Times New Roman"/>
      <family val="1"/>
    </font>
    <font>
      <vertAlign val="superscript"/>
      <sz val="10"/>
      <name val="Arial"/>
      <family val="2"/>
    </font>
    <font>
      <sz val="9"/>
      <name val="等线"/>
      <family val="3"/>
      <charset val="134"/>
      <scheme val="minor"/>
    </font>
    <font>
      <sz val="11"/>
      <color theme="1"/>
      <name val="Calibri"/>
      <family val="2"/>
    </font>
    <font>
      <vertAlign val="subscript"/>
      <sz val="11"/>
      <color theme="1"/>
      <name val="等线"/>
      <family val="3"/>
      <charset val="134"/>
      <scheme val="minor"/>
    </font>
    <font>
      <b/>
      <sz val="16"/>
      <color theme="1"/>
      <name val="等线 Light"/>
      <family val="1"/>
      <scheme val="major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vertAlign val="subscript"/>
      <sz val="12"/>
      <color theme="1"/>
      <name val="Arial"/>
      <family val="2"/>
    </font>
    <font>
      <i/>
      <u/>
      <sz val="11"/>
      <color theme="1"/>
      <name val="等线"/>
      <family val="3"/>
      <charset val="134"/>
      <scheme val="minor"/>
    </font>
    <font>
      <b/>
      <sz val="10"/>
      <name val="宋体"/>
      <family val="3"/>
      <charset val="134"/>
    </font>
    <font>
      <sz val="11"/>
      <color rgb="FF000000"/>
      <name val="等线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13">
    <xf numFmtId="0" fontId="0" fillId="0" borderId="0" xfId="0"/>
    <xf numFmtId="0" fontId="1" fillId="0" borderId="1" xfId="1" applyBorder="1" applyAlignment="1">
      <alignment horizontal="center"/>
    </xf>
    <xf numFmtId="0" fontId="1" fillId="0" borderId="2" xfId="1" applyBorder="1" applyAlignment="1">
      <alignment horizontal="center"/>
    </xf>
    <xf numFmtId="0" fontId="1" fillId="0" borderId="7" xfId="1" applyBorder="1" applyAlignment="1">
      <alignment horizontal="center"/>
    </xf>
    <xf numFmtId="0" fontId="1" fillId="0" borderId="0" xfId="1"/>
    <xf numFmtId="0" fontId="1" fillId="0" borderId="8" xfId="1" applyBorder="1" applyAlignment="1">
      <alignment horizontal="center"/>
    </xf>
    <xf numFmtId="0" fontId="1" fillId="0" borderId="9" xfId="1" applyBorder="1" applyAlignment="1">
      <alignment horizontal="center"/>
    </xf>
    <xf numFmtId="0" fontId="1" fillId="0" borderId="10" xfId="1" applyBorder="1" applyAlignment="1">
      <alignment horizontal="center"/>
    </xf>
    <xf numFmtId="0" fontId="1" fillId="0" borderId="13" xfId="1" applyBorder="1" applyAlignment="1">
      <alignment horizontal="center"/>
    </xf>
    <xf numFmtId="9" fontId="1" fillId="0" borderId="9" xfId="2" applyFont="1" applyFill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1" fillId="0" borderId="14" xfId="1" applyBorder="1" applyAlignment="1">
      <alignment horizontal="center"/>
    </xf>
    <xf numFmtId="0" fontId="1" fillId="0" borderId="15" xfId="1" applyBorder="1" applyAlignment="1">
      <alignment horizontal="center"/>
    </xf>
    <xf numFmtId="0" fontId="1" fillId="0" borderId="16" xfId="1" applyBorder="1" applyAlignment="1">
      <alignment horizontal="center"/>
    </xf>
    <xf numFmtId="0" fontId="1" fillId="0" borderId="17" xfId="1" applyBorder="1" applyAlignment="1">
      <alignment horizontal="center"/>
    </xf>
    <xf numFmtId="176" fontId="1" fillId="0" borderId="18" xfId="1" applyNumberFormat="1" applyBorder="1" applyAlignment="1">
      <alignment horizontal="right" indent="1"/>
    </xf>
    <xf numFmtId="0" fontId="1" fillId="0" borderId="18" xfId="1" applyBorder="1" applyAlignment="1">
      <alignment horizontal="right" indent="1"/>
    </xf>
    <xf numFmtId="2" fontId="1" fillId="0" borderId="18" xfId="1" applyNumberFormat="1" applyBorder="1" applyAlignment="1">
      <alignment horizontal="right" indent="1"/>
    </xf>
    <xf numFmtId="177" fontId="1" fillId="0" borderId="18" xfId="1" applyNumberFormat="1" applyBorder="1" applyAlignment="1">
      <alignment horizontal="center"/>
    </xf>
    <xf numFmtId="178" fontId="1" fillId="0" borderId="18" xfId="1" applyNumberFormat="1" applyBorder="1" applyAlignment="1">
      <alignment horizontal="right" indent="1"/>
    </xf>
    <xf numFmtId="0" fontId="1" fillId="0" borderId="22" xfId="1" applyBorder="1" applyAlignment="1">
      <alignment horizontal="center"/>
    </xf>
    <xf numFmtId="176" fontId="1" fillId="0" borderId="23" xfId="1" applyNumberFormat="1" applyBorder="1" applyAlignment="1">
      <alignment horizontal="right" indent="1"/>
    </xf>
    <xf numFmtId="0" fontId="1" fillId="0" borderId="23" xfId="1" applyBorder="1" applyAlignment="1">
      <alignment horizontal="right" indent="1"/>
    </xf>
    <xf numFmtId="2" fontId="1" fillId="0" borderId="23" xfId="1" applyNumberFormat="1" applyBorder="1" applyAlignment="1">
      <alignment horizontal="right" indent="1"/>
    </xf>
    <xf numFmtId="177" fontId="1" fillId="0" borderId="23" xfId="1" applyNumberFormat="1" applyBorder="1" applyAlignment="1">
      <alignment horizontal="center"/>
    </xf>
    <xf numFmtId="178" fontId="1" fillId="0" borderId="23" xfId="1" applyNumberFormat="1" applyBorder="1" applyAlignment="1">
      <alignment horizontal="right" indent="1"/>
    </xf>
    <xf numFmtId="176" fontId="1" fillId="0" borderId="24" xfId="1" applyNumberFormat="1" applyBorder="1" applyAlignment="1">
      <alignment horizontal="right" indent="1"/>
    </xf>
    <xf numFmtId="0" fontId="1" fillId="0" borderId="25" xfId="1" applyBorder="1" applyAlignment="1">
      <alignment horizontal="center"/>
    </xf>
    <xf numFmtId="176" fontId="1" fillId="0" borderId="26" xfId="1" applyNumberFormat="1" applyBorder="1" applyAlignment="1">
      <alignment horizontal="right" indent="1"/>
    </xf>
    <xf numFmtId="0" fontId="1" fillId="0" borderId="26" xfId="1" applyBorder="1" applyAlignment="1">
      <alignment horizontal="right" indent="1"/>
    </xf>
    <xf numFmtId="2" fontId="1" fillId="0" borderId="26" xfId="1" applyNumberFormat="1" applyBorder="1" applyAlignment="1">
      <alignment horizontal="right" indent="1"/>
    </xf>
    <xf numFmtId="177" fontId="1" fillId="0" borderId="26" xfId="1" applyNumberFormat="1" applyBorder="1" applyAlignment="1">
      <alignment horizontal="center"/>
    </xf>
    <xf numFmtId="178" fontId="1" fillId="0" borderId="26" xfId="1" applyNumberFormat="1" applyBorder="1" applyAlignment="1">
      <alignment horizontal="right" indent="1"/>
    </xf>
    <xf numFmtId="176" fontId="1" fillId="0" borderId="27" xfId="1" applyNumberFormat="1" applyBorder="1" applyAlignment="1">
      <alignment horizontal="right" indent="1"/>
    </xf>
    <xf numFmtId="176" fontId="1" fillId="0" borderId="21" xfId="1" applyNumberFormat="1" applyBorder="1" applyAlignment="1">
      <alignment horizontal="right" indent="1"/>
    </xf>
    <xf numFmtId="0" fontId="1" fillId="0" borderId="0" xfId="1" applyAlignment="1">
      <alignment horizontal="center"/>
    </xf>
    <xf numFmtId="0" fontId="1" fillId="2" borderId="17" xfId="1" applyFill="1" applyBorder="1" applyAlignment="1">
      <alignment horizontal="center" vertical="center"/>
    </xf>
    <xf numFmtId="176" fontId="1" fillId="2" borderId="18" xfId="1" applyNumberFormat="1" applyFill="1" applyBorder="1" applyAlignment="1">
      <alignment horizontal="center" vertical="center"/>
    </xf>
    <xf numFmtId="176" fontId="1" fillId="2" borderId="19" xfId="1" applyNumberFormat="1" applyFill="1" applyBorder="1" applyAlignment="1">
      <alignment horizontal="center" vertical="center"/>
    </xf>
    <xf numFmtId="176" fontId="1" fillId="2" borderId="20" xfId="1" applyNumberFormat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2" fontId="1" fillId="2" borderId="18" xfId="1" applyNumberFormat="1" applyFill="1" applyBorder="1" applyAlignment="1">
      <alignment horizontal="center" vertical="center"/>
    </xf>
    <xf numFmtId="177" fontId="1" fillId="2" borderId="18" xfId="1" applyNumberFormat="1" applyFill="1" applyBorder="1" applyAlignment="1">
      <alignment horizontal="center" vertical="center"/>
    </xf>
    <xf numFmtId="178" fontId="1" fillId="2" borderId="18" xfId="1" applyNumberFormat="1" applyFill="1" applyBorder="1" applyAlignment="1">
      <alignment horizontal="center" vertical="center"/>
    </xf>
    <xf numFmtId="0" fontId="1" fillId="2" borderId="21" xfId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7" fillId="0" borderId="0" xfId="0" applyFont="1"/>
    <xf numFmtId="0" fontId="9" fillId="0" borderId="0" xfId="0" applyFont="1" applyAlignment="1">
      <alignment vertical="center"/>
    </xf>
    <xf numFmtId="0" fontId="0" fillId="2" borderId="0" xfId="0" applyFill="1"/>
    <xf numFmtId="0" fontId="7" fillId="2" borderId="0" xfId="0" applyFont="1" applyFill="1"/>
    <xf numFmtId="0" fontId="0" fillId="2" borderId="31" xfId="0" applyFill="1" applyBorder="1"/>
    <xf numFmtId="0" fontId="11" fillId="2" borderId="10" xfId="0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9" xfId="0" applyFont="1" applyFill="1" applyBorder="1" applyAlignment="1">
      <alignment horizontal="center"/>
    </xf>
    <xf numFmtId="0" fontId="11" fillId="2" borderId="9" xfId="0" applyFont="1" applyFill="1" applyBorder="1"/>
    <xf numFmtId="0" fontId="11" fillId="2" borderId="11" xfId="0" applyFont="1" applyFill="1" applyBorder="1"/>
    <xf numFmtId="0" fontId="11" fillId="2" borderId="12" xfId="0" applyFont="1" applyFill="1" applyBorder="1"/>
    <xf numFmtId="0" fontId="11" fillId="2" borderId="15" xfId="0" applyFont="1" applyFill="1" applyBorder="1" applyAlignment="1">
      <alignment horizontal="center"/>
    </xf>
    <xf numFmtId="0" fontId="11" fillId="2" borderId="15" xfId="0" applyFont="1" applyFill="1" applyBorder="1"/>
    <xf numFmtId="0" fontId="11" fillId="2" borderId="26" xfId="0" applyFont="1" applyFill="1" applyBorder="1" applyAlignment="1">
      <alignment horizontal="center"/>
    </xf>
    <xf numFmtId="0" fontId="11" fillId="2" borderId="26" xfId="0" applyFont="1" applyFill="1" applyBorder="1"/>
    <xf numFmtId="0" fontId="11" fillId="2" borderId="33" xfId="0" applyFont="1" applyFill="1" applyBorder="1"/>
    <xf numFmtId="0" fontId="11" fillId="3" borderId="0" xfId="0" applyFont="1" applyFill="1"/>
    <xf numFmtId="0" fontId="11" fillId="0" borderId="0" xfId="0" applyFont="1"/>
    <xf numFmtId="0" fontId="11" fillId="4" borderId="0" xfId="0" applyFont="1" applyFill="1"/>
    <xf numFmtId="0" fontId="11" fillId="5" borderId="0" xfId="0" applyFont="1" applyFill="1"/>
    <xf numFmtId="0" fontId="11" fillId="7" borderId="0" xfId="0" applyFont="1" applyFill="1"/>
    <xf numFmtId="0" fontId="11" fillId="8" borderId="0" xfId="0" applyFont="1" applyFill="1"/>
    <xf numFmtId="0" fontId="11" fillId="9" borderId="0" xfId="0" applyFont="1" applyFill="1"/>
    <xf numFmtId="0" fontId="14" fillId="10" borderId="0" xfId="0" applyFont="1" applyFill="1"/>
    <xf numFmtId="0" fontId="2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" fillId="0" borderId="28" xfId="1" applyBorder="1"/>
    <xf numFmtId="0" fontId="1" fillId="0" borderId="34" xfId="1" applyBorder="1"/>
    <xf numFmtId="0" fontId="1" fillId="0" borderId="29" xfId="1" applyBorder="1"/>
    <xf numFmtId="0" fontId="1" fillId="0" borderId="31" xfId="1" applyBorder="1"/>
    <xf numFmtId="0" fontId="2" fillId="10" borderId="30" xfId="1" applyFont="1" applyFill="1" applyBorder="1" applyAlignment="1">
      <alignment horizontal="center" vertical="center"/>
    </xf>
    <xf numFmtId="0" fontId="2" fillId="10" borderId="0" xfId="1" applyFont="1" applyFill="1" applyAlignment="1">
      <alignment horizontal="center" vertical="center"/>
    </xf>
    <xf numFmtId="0" fontId="1" fillId="0" borderId="11" xfId="1" applyBorder="1"/>
    <xf numFmtId="0" fontId="1" fillId="0" borderId="35" xfId="1" applyBorder="1"/>
    <xf numFmtId="0" fontId="1" fillId="0" borderId="12" xfId="1" applyBorder="1"/>
    <xf numFmtId="0" fontId="2" fillId="11" borderId="0" xfId="1" applyFont="1" applyFill="1"/>
    <xf numFmtId="0" fontId="1" fillId="10" borderId="0" xfId="1" applyFill="1" applyAlignment="1">
      <alignment horizontal="center" vertical="center"/>
    </xf>
    <xf numFmtId="0" fontId="1" fillId="10" borderId="30" xfId="1" applyFill="1" applyBorder="1" applyAlignment="1">
      <alignment horizontal="center" vertical="center"/>
    </xf>
    <xf numFmtId="0" fontId="1" fillId="0" borderId="5" xfId="1" applyBorder="1" applyAlignment="1">
      <alignment horizontal="center"/>
    </xf>
    <xf numFmtId="0" fontId="1" fillId="0" borderId="6" xfId="1" applyBorder="1" applyAlignment="1">
      <alignment horizontal="center"/>
    </xf>
    <xf numFmtId="0" fontId="1" fillId="0" borderId="11" xfId="1" applyBorder="1" applyAlignment="1">
      <alignment horizontal="center"/>
    </xf>
    <xf numFmtId="0" fontId="1" fillId="0" borderId="12" xfId="1" applyBorder="1" applyAlignment="1">
      <alignment horizontal="center"/>
    </xf>
    <xf numFmtId="0" fontId="2" fillId="0" borderId="8" xfId="1" applyFont="1" applyBorder="1" applyAlignment="1">
      <alignment horizontal="center"/>
    </xf>
    <xf numFmtId="0" fontId="1" fillId="0" borderId="3" xfId="1" applyBorder="1" applyAlignment="1">
      <alignment horizontal="center"/>
    </xf>
    <xf numFmtId="0" fontId="1" fillId="0" borderId="4" xfId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32" xfId="0" applyFont="1" applyFill="1" applyBorder="1" applyAlignment="1">
      <alignment horizontal="center"/>
    </xf>
    <xf numFmtId="0" fontId="11" fillId="2" borderId="33" xfId="0" applyFont="1" applyFill="1" applyBorder="1" applyAlignment="1">
      <alignment horizontal="center"/>
    </xf>
    <xf numFmtId="0" fontId="12" fillId="2" borderId="28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12" fillId="2" borderId="30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2" fillId="2" borderId="12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1" fillId="6" borderId="32" xfId="0" applyFont="1" applyFill="1" applyBorder="1" applyAlignment="1">
      <alignment horizontal="center"/>
    </xf>
    <xf numFmtId="0" fontId="11" fillId="6" borderId="33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11" fillId="2" borderId="15" xfId="0" applyFont="1" applyFill="1" applyBorder="1" applyAlignment="1">
      <alignment horizontal="center"/>
    </xf>
    <xf numFmtId="0" fontId="2" fillId="0" borderId="34" xfId="1" applyFont="1" applyBorder="1" applyAlignment="1">
      <alignment horizontal="center"/>
    </xf>
    <xf numFmtId="0" fontId="1" fillId="0" borderId="34" xfId="1" applyBorder="1" applyAlignment="1">
      <alignment horizontal="center"/>
    </xf>
    <xf numFmtId="0" fontId="1" fillId="10" borderId="0" xfId="1" applyFill="1" applyAlignment="1">
      <alignment horizontal="center" vertical="center"/>
    </xf>
    <xf numFmtId="0" fontId="2" fillId="10" borderId="34" xfId="1" applyFont="1" applyFill="1" applyBorder="1" applyAlignment="1">
      <alignment horizontal="center"/>
    </xf>
    <xf numFmtId="0" fontId="2" fillId="10" borderId="0" xfId="1" applyFont="1" applyFill="1" applyAlignment="1">
      <alignment horizontal="center"/>
    </xf>
    <xf numFmtId="0" fontId="1" fillId="10" borderId="35" xfId="1" applyFill="1" applyBorder="1" applyAlignment="1">
      <alignment horizontal="center"/>
    </xf>
  </cellXfs>
  <cellStyles count="3">
    <cellStyle name="Normal 2" xfId="1" xr:uid="{52EC8B73-5D4A-4F78-B95A-7D1E29147FE5}"/>
    <cellStyle name="Percent 2" xfId="2" xr:uid="{769429DF-1833-427B-A5CD-27889C33B260}"/>
    <cellStyle name="常规" xfId="0" builtinId="0"/>
  </cellStyles>
  <dxfs count="1"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409575</xdr:colOff>
          <xdr:row>2</xdr:row>
          <xdr:rowOff>4763</xdr:rowOff>
        </xdr:from>
        <xdr:to>
          <xdr:col>25</xdr:col>
          <xdr:colOff>495300</xdr:colOff>
          <xdr:row>4</xdr:row>
          <xdr:rowOff>33338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计算S235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604838</xdr:colOff>
          <xdr:row>2</xdr:row>
          <xdr:rowOff>4763</xdr:rowOff>
        </xdr:from>
        <xdr:to>
          <xdr:col>26</xdr:col>
          <xdr:colOff>690563</xdr:colOff>
          <xdr:row>4</xdr:row>
          <xdr:rowOff>33338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3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计算S275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95250</xdr:colOff>
          <xdr:row>2</xdr:row>
          <xdr:rowOff>4763</xdr:rowOff>
        </xdr:from>
        <xdr:to>
          <xdr:col>28</xdr:col>
          <xdr:colOff>138113</xdr:colOff>
          <xdr:row>4</xdr:row>
          <xdr:rowOff>33338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3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计算S355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E4EF3-E2A3-46E8-8D19-866C68AF083F}">
  <sheetPr codeName="Sheet1">
    <pageSetUpPr fitToPage="1"/>
  </sheetPr>
  <dimension ref="A1:U47"/>
  <sheetViews>
    <sheetView workbookViewId="0">
      <selection activeCell="N11" sqref="N11"/>
    </sheetView>
  </sheetViews>
  <sheetFormatPr defaultColWidth="9.1328125" defaultRowHeight="12.75" x14ac:dyDescent="0.35"/>
  <cols>
    <col min="1" max="1" width="14.73046875" style="4" customWidth="1"/>
    <col min="2" max="3" width="7.73046875" style="4" customWidth="1"/>
    <col min="4" max="4" width="7.46484375" style="4" customWidth="1"/>
    <col min="5" max="5" width="6.3984375" style="4" customWidth="1"/>
    <col min="6" max="6" width="7.1328125" style="4" customWidth="1"/>
    <col min="7" max="7" width="7.265625" style="4" customWidth="1"/>
    <col min="8" max="8" width="8.1328125" style="4" customWidth="1"/>
    <col min="9" max="9" width="8.73046875" style="4" bestFit="1" customWidth="1"/>
    <col min="10" max="10" width="8" style="4" customWidth="1"/>
    <col min="11" max="11" width="7.796875" style="4" customWidth="1"/>
    <col min="12" max="12" width="7.265625" style="4" customWidth="1"/>
    <col min="13" max="13" width="7.3984375" style="4" customWidth="1"/>
    <col min="14" max="14" width="6.73046875" style="4" customWidth="1"/>
    <col min="15" max="15" width="7.73046875" style="4" bestFit="1" customWidth="1"/>
    <col min="16" max="16" width="7.3984375" style="4" customWidth="1"/>
    <col min="17" max="17" width="7.73046875" style="4" customWidth="1"/>
    <col min="18" max="18" width="8" style="4" customWidth="1"/>
    <col min="19" max="19" width="9.265625" style="4" bestFit="1" customWidth="1"/>
    <col min="20" max="20" width="10.1328125" style="4" bestFit="1" customWidth="1"/>
    <col min="21" max="21" width="7.46484375" style="4" customWidth="1"/>
    <col min="22" max="16384" width="9.1328125" style="4"/>
  </cols>
  <sheetData>
    <row r="1" spans="1:21" x14ac:dyDescent="0.35">
      <c r="A1" s="1" t="s">
        <v>0</v>
      </c>
      <c r="B1" s="2" t="s">
        <v>1</v>
      </c>
      <c r="C1" s="2" t="s">
        <v>2</v>
      </c>
      <c r="D1" s="2" t="s">
        <v>3</v>
      </c>
      <c r="E1" s="91" t="s">
        <v>4</v>
      </c>
      <c r="F1" s="92"/>
      <c r="G1" s="2" t="s">
        <v>5</v>
      </c>
      <c r="H1" s="2" t="s">
        <v>2</v>
      </c>
      <c r="I1" s="86" t="s">
        <v>6</v>
      </c>
      <c r="J1" s="87"/>
      <c r="K1" s="86" t="s">
        <v>7</v>
      </c>
      <c r="L1" s="87"/>
      <c r="M1" s="86" t="s">
        <v>8</v>
      </c>
      <c r="N1" s="87"/>
      <c r="O1" s="86" t="s">
        <v>9</v>
      </c>
      <c r="P1" s="87"/>
      <c r="Q1" s="2" t="s">
        <v>10</v>
      </c>
      <c r="R1" s="2" t="s">
        <v>11</v>
      </c>
      <c r="S1" s="2" t="s">
        <v>12</v>
      </c>
      <c r="T1" s="2" t="s">
        <v>13</v>
      </c>
      <c r="U1" s="3" t="s">
        <v>14</v>
      </c>
    </row>
    <row r="2" spans="1:21" x14ac:dyDescent="0.35">
      <c r="A2" s="5" t="s">
        <v>15</v>
      </c>
      <c r="B2" s="6" t="s">
        <v>16</v>
      </c>
      <c r="C2" s="6" t="s">
        <v>17</v>
      </c>
      <c r="D2" s="6" t="s">
        <v>17</v>
      </c>
      <c r="E2" s="7" t="s">
        <v>18</v>
      </c>
      <c r="F2" s="7" t="s">
        <v>19</v>
      </c>
      <c r="G2" s="6" t="s">
        <v>20</v>
      </c>
      <c r="H2" s="6" t="s">
        <v>21</v>
      </c>
      <c r="I2" s="88" t="s">
        <v>22</v>
      </c>
      <c r="J2" s="89"/>
      <c r="K2" s="88" t="s">
        <v>23</v>
      </c>
      <c r="L2" s="89"/>
      <c r="M2" s="88" t="s">
        <v>24</v>
      </c>
      <c r="N2" s="89"/>
      <c r="O2" s="88" t="s">
        <v>24</v>
      </c>
      <c r="P2" s="89"/>
      <c r="Q2" s="6" t="s">
        <v>25</v>
      </c>
      <c r="R2" s="6" t="s">
        <v>26</v>
      </c>
      <c r="S2" s="6" t="s">
        <v>27</v>
      </c>
      <c r="T2" s="6" t="s">
        <v>27</v>
      </c>
      <c r="U2" s="8" t="s">
        <v>17</v>
      </c>
    </row>
    <row r="3" spans="1:21" x14ac:dyDescent="0.35">
      <c r="A3" s="5"/>
      <c r="B3" s="9" t="s">
        <v>28</v>
      </c>
      <c r="C3" s="6" t="s">
        <v>0</v>
      </c>
      <c r="D3" s="6" t="s">
        <v>0</v>
      </c>
      <c r="E3" s="6"/>
      <c r="F3" s="6"/>
      <c r="G3" s="6"/>
      <c r="H3" s="6" t="s">
        <v>29</v>
      </c>
      <c r="I3" s="7" t="s">
        <v>30</v>
      </c>
      <c r="J3" s="7" t="s">
        <v>30</v>
      </c>
      <c r="K3" s="7" t="s">
        <v>30</v>
      </c>
      <c r="L3" s="7" t="s">
        <v>30</v>
      </c>
      <c r="M3" s="7" t="s">
        <v>30</v>
      </c>
      <c r="N3" s="7" t="s">
        <v>30</v>
      </c>
      <c r="O3" s="7" t="s">
        <v>30</v>
      </c>
      <c r="P3" s="7" t="s">
        <v>30</v>
      </c>
      <c r="Q3" s="6"/>
      <c r="R3" s="6"/>
      <c r="S3" s="6"/>
      <c r="T3" s="6"/>
      <c r="U3" s="8" t="s">
        <v>0</v>
      </c>
    </row>
    <row r="4" spans="1:21" x14ac:dyDescent="0.35">
      <c r="A4" s="90" t="s">
        <v>31</v>
      </c>
      <c r="B4" s="6"/>
      <c r="C4" s="6"/>
      <c r="D4" s="6"/>
      <c r="E4" s="6"/>
      <c r="F4" s="6"/>
      <c r="G4" s="6"/>
      <c r="H4" s="6"/>
      <c r="I4" s="6" t="s">
        <v>32</v>
      </c>
      <c r="J4" s="6" t="s">
        <v>33</v>
      </c>
      <c r="K4" s="6" t="s">
        <v>32</v>
      </c>
      <c r="L4" s="6" t="s">
        <v>33</v>
      </c>
      <c r="M4" s="6" t="s">
        <v>32</v>
      </c>
      <c r="N4" s="6" t="s">
        <v>33</v>
      </c>
      <c r="O4" s="6" t="s">
        <v>32</v>
      </c>
      <c r="P4" s="6" t="s">
        <v>33</v>
      </c>
      <c r="Q4" s="6"/>
      <c r="R4" s="6"/>
      <c r="S4" s="6"/>
      <c r="T4" s="6"/>
      <c r="U4" s="8"/>
    </row>
    <row r="5" spans="1:21" ht="15" x14ac:dyDescent="0.5">
      <c r="A5" s="90"/>
      <c r="B5" s="6"/>
      <c r="C5" s="6" t="s">
        <v>34</v>
      </c>
      <c r="D5" s="6" t="s">
        <v>103</v>
      </c>
      <c r="E5" s="6" t="s">
        <v>35</v>
      </c>
      <c r="F5" s="6" t="s">
        <v>36</v>
      </c>
      <c r="G5" s="6" t="s">
        <v>37</v>
      </c>
      <c r="H5" s="6" t="s">
        <v>38</v>
      </c>
      <c r="I5" s="10" t="s">
        <v>39</v>
      </c>
      <c r="J5" s="10" t="s">
        <v>39</v>
      </c>
      <c r="K5" s="6" t="s">
        <v>40</v>
      </c>
      <c r="L5" s="6" t="s">
        <v>41</v>
      </c>
      <c r="M5" s="6" t="s">
        <v>42</v>
      </c>
      <c r="N5" s="6" t="s">
        <v>42</v>
      </c>
      <c r="O5" s="6" t="s">
        <v>43</v>
      </c>
      <c r="P5" s="6" t="s">
        <v>43</v>
      </c>
      <c r="Q5" s="6" t="s">
        <v>44</v>
      </c>
      <c r="R5" s="6" t="s">
        <v>45</v>
      </c>
      <c r="S5" s="6" t="s">
        <v>46</v>
      </c>
      <c r="T5" s="6" t="s">
        <v>47</v>
      </c>
      <c r="U5" s="8" t="s">
        <v>48</v>
      </c>
    </row>
    <row r="6" spans="1:21" ht="14.25" x14ac:dyDescent="0.35">
      <c r="A6" s="11"/>
      <c r="B6" s="12" t="s">
        <v>49</v>
      </c>
      <c r="C6" s="12" t="s">
        <v>50</v>
      </c>
      <c r="D6" s="12" t="s">
        <v>50</v>
      </c>
      <c r="E6" s="12" t="s">
        <v>50</v>
      </c>
      <c r="F6" s="12" t="s">
        <v>50</v>
      </c>
      <c r="G6" s="12" t="s">
        <v>50</v>
      </c>
      <c r="H6" s="12" t="s">
        <v>50</v>
      </c>
      <c r="I6" s="12" t="s">
        <v>51</v>
      </c>
      <c r="J6" s="12" t="s">
        <v>51</v>
      </c>
      <c r="K6" s="12" t="s">
        <v>52</v>
      </c>
      <c r="L6" s="12" t="s">
        <v>52</v>
      </c>
      <c r="M6" s="12" t="s">
        <v>53</v>
      </c>
      <c r="N6" s="12" t="s">
        <v>53</v>
      </c>
      <c r="O6" s="12" t="s">
        <v>53</v>
      </c>
      <c r="P6" s="12" t="s">
        <v>53</v>
      </c>
      <c r="Q6" s="12"/>
      <c r="R6" s="12"/>
      <c r="S6" s="12" t="s">
        <v>54</v>
      </c>
      <c r="T6" s="12" t="s">
        <v>51</v>
      </c>
      <c r="U6" s="13" t="s">
        <v>55</v>
      </c>
    </row>
    <row r="7" spans="1:21" s="45" customFormat="1" ht="13.15" thickBot="1" x14ac:dyDescent="0.45">
      <c r="A7" s="36" t="s">
        <v>31</v>
      </c>
      <c r="B7" s="37" t="s">
        <v>1</v>
      </c>
      <c r="C7" s="37" t="s">
        <v>2</v>
      </c>
      <c r="D7" s="37" t="s">
        <v>3</v>
      </c>
      <c r="E7" s="37" t="s">
        <v>91</v>
      </c>
      <c r="F7" s="38" t="s">
        <v>92</v>
      </c>
      <c r="G7" s="37" t="s">
        <v>20</v>
      </c>
      <c r="H7" s="39" t="s">
        <v>29</v>
      </c>
      <c r="I7" s="40" t="s">
        <v>93</v>
      </c>
      <c r="J7" s="40" t="s">
        <v>94</v>
      </c>
      <c r="K7" s="37" t="s">
        <v>95</v>
      </c>
      <c r="L7" s="41" t="s">
        <v>96</v>
      </c>
      <c r="M7" s="40" t="s">
        <v>97</v>
      </c>
      <c r="N7" s="40" t="s">
        <v>98</v>
      </c>
      <c r="O7" s="40" t="s">
        <v>99</v>
      </c>
      <c r="P7" s="40" t="s">
        <v>100</v>
      </c>
      <c r="Q7" s="42" t="s">
        <v>44</v>
      </c>
      <c r="R7" s="41" t="s">
        <v>45</v>
      </c>
      <c r="S7" s="43" t="s">
        <v>101</v>
      </c>
      <c r="T7" s="41" t="s">
        <v>102</v>
      </c>
      <c r="U7" s="44" t="s">
        <v>14</v>
      </c>
    </row>
    <row r="8" spans="1:21" x14ac:dyDescent="0.35">
      <c r="A8" s="20" t="s">
        <v>56</v>
      </c>
      <c r="B8" s="21">
        <v>633.9</v>
      </c>
      <c r="C8" s="21">
        <v>474.6</v>
      </c>
      <c r="D8" s="21">
        <v>424</v>
      </c>
      <c r="E8" s="21">
        <v>47.6</v>
      </c>
      <c r="F8" s="21">
        <v>77</v>
      </c>
      <c r="G8" s="21">
        <v>15.2</v>
      </c>
      <c r="H8" s="21">
        <v>290.2</v>
      </c>
      <c r="I8" s="22">
        <v>274800</v>
      </c>
      <c r="J8" s="22">
        <v>98130</v>
      </c>
      <c r="K8" s="21">
        <v>18.399999999999999</v>
      </c>
      <c r="L8" s="23">
        <v>11</v>
      </c>
      <c r="M8" s="22">
        <v>11580</v>
      </c>
      <c r="N8" s="22">
        <v>4629</v>
      </c>
      <c r="O8" s="22">
        <v>14240</v>
      </c>
      <c r="P8" s="22">
        <v>7108</v>
      </c>
      <c r="Q8" s="24">
        <v>0.84299999999999997</v>
      </c>
      <c r="R8" s="23">
        <v>5.46</v>
      </c>
      <c r="S8" s="25">
        <v>38.799999999999997</v>
      </c>
      <c r="T8" s="23">
        <v>13720</v>
      </c>
      <c r="U8" s="26">
        <v>808</v>
      </c>
    </row>
    <row r="9" spans="1:21" x14ac:dyDescent="0.35">
      <c r="A9" s="27" t="s">
        <v>57</v>
      </c>
      <c r="B9" s="28">
        <v>551</v>
      </c>
      <c r="C9" s="28">
        <v>455.6</v>
      </c>
      <c r="D9" s="28">
        <v>418.5</v>
      </c>
      <c r="E9" s="28">
        <v>42.1</v>
      </c>
      <c r="F9" s="28">
        <v>67.5</v>
      </c>
      <c r="G9" s="28">
        <v>15.2</v>
      </c>
      <c r="H9" s="28">
        <v>290.2</v>
      </c>
      <c r="I9" s="29">
        <v>226900</v>
      </c>
      <c r="J9" s="29">
        <v>82670</v>
      </c>
      <c r="K9" s="28">
        <v>18</v>
      </c>
      <c r="L9" s="30">
        <v>10.9</v>
      </c>
      <c r="M9" s="29">
        <v>9962</v>
      </c>
      <c r="N9" s="29">
        <v>3951</v>
      </c>
      <c r="O9" s="29">
        <v>12080</v>
      </c>
      <c r="P9" s="29">
        <v>6058</v>
      </c>
      <c r="Q9" s="31">
        <v>0.84099999999999997</v>
      </c>
      <c r="R9" s="30">
        <v>6.05</v>
      </c>
      <c r="S9" s="32">
        <v>31.1</v>
      </c>
      <c r="T9" s="30">
        <v>9240</v>
      </c>
      <c r="U9" s="33">
        <v>702</v>
      </c>
    </row>
    <row r="10" spans="1:21" x14ac:dyDescent="0.35">
      <c r="A10" s="27" t="s">
        <v>58</v>
      </c>
      <c r="B10" s="28">
        <v>467</v>
      </c>
      <c r="C10" s="28">
        <v>436.6</v>
      </c>
      <c r="D10" s="28">
        <v>412.2</v>
      </c>
      <c r="E10" s="28">
        <v>35.799999999999997</v>
      </c>
      <c r="F10" s="28">
        <v>58</v>
      </c>
      <c r="G10" s="28">
        <v>15.2</v>
      </c>
      <c r="H10" s="28">
        <v>290.2</v>
      </c>
      <c r="I10" s="29">
        <v>183000</v>
      </c>
      <c r="J10" s="29">
        <v>67830</v>
      </c>
      <c r="K10" s="28">
        <v>17.5</v>
      </c>
      <c r="L10" s="30">
        <v>10.7</v>
      </c>
      <c r="M10" s="29">
        <v>8383</v>
      </c>
      <c r="N10" s="29">
        <v>3291</v>
      </c>
      <c r="O10" s="29">
        <v>10000</v>
      </c>
      <c r="P10" s="29">
        <v>5034</v>
      </c>
      <c r="Q10" s="31">
        <v>0.83899999999999997</v>
      </c>
      <c r="R10" s="30">
        <v>6.86</v>
      </c>
      <c r="S10" s="32">
        <v>24.3</v>
      </c>
      <c r="T10" s="30">
        <v>5809</v>
      </c>
      <c r="U10" s="33">
        <v>595</v>
      </c>
    </row>
    <row r="11" spans="1:21" x14ac:dyDescent="0.35">
      <c r="A11" s="27" t="s">
        <v>59</v>
      </c>
      <c r="B11" s="28">
        <v>393</v>
      </c>
      <c r="C11" s="28">
        <v>419</v>
      </c>
      <c r="D11" s="28">
        <v>407</v>
      </c>
      <c r="E11" s="28">
        <v>30.6</v>
      </c>
      <c r="F11" s="28">
        <v>49.2</v>
      </c>
      <c r="G11" s="28">
        <v>15.2</v>
      </c>
      <c r="H11" s="28">
        <v>290.2</v>
      </c>
      <c r="I11" s="29">
        <v>146600</v>
      </c>
      <c r="J11" s="29">
        <v>55370</v>
      </c>
      <c r="K11" s="28">
        <v>17.100000000000001</v>
      </c>
      <c r="L11" s="30">
        <v>10.5</v>
      </c>
      <c r="M11" s="29">
        <v>6998</v>
      </c>
      <c r="N11" s="29">
        <v>2721</v>
      </c>
      <c r="O11" s="29">
        <v>8222</v>
      </c>
      <c r="P11" s="29">
        <v>4154</v>
      </c>
      <c r="Q11" s="31">
        <v>0.83699999999999997</v>
      </c>
      <c r="R11" s="30">
        <v>7.86</v>
      </c>
      <c r="S11" s="32">
        <v>18.899999999999999</v>
      </c>
      <c r="T11" s="30">
        <v>3545</v>
      </c>
      <c r="U11" s="33">
        <v>501</v>
      </c>
    </row>
    <row r="12" spans="1:21" x14ac:dyDescent="0.35">
      <c r="A12" s="27" t="s">
        <v>60</v>
      </c>
      <c r="B12" s="28">
        <v>339.9</v>
      </c>
      <c r="C12" s="28">
        <v>406.4</v>
      </c>
      <c r="D12" s="28">
        <v>403</v>
      </c>
      <c r="E12" s="28">
        <v>26.6</v>
      </c>
      <c r="F12" s="28">
        <v>42.9</v>
      </c>
      <c r="G12" s="28">
        <v>15.2</v>
      </c>
      <c r="H12" s="28">
        <v>290.2</v>
      </c>
      <c r="I12" s="29">
        <v>122500</v>
      </c>
      <c r="J12" s="29">
        <v>46850</v>
      </c>
      <c r="K12" s="28">
        <v>16.8</v>
      </c>
      <c r="L12" s="30">
        <v>10.4</v>
      </c>
      <c r="M12" s="29">
        <v>6031</v>
      </c>
      <c r="N12" s="29">
        <v>2325</v>
      </c>
      <c r="O12" s="29">
        <v>6999</v>
      </c>
      <c r="P12" s="29">
        <v>3544</v>
      </c>
      <c r="Q12" s="31">
        <v>0.83599999999999997</v>
      </c>
      <c r="R12" s="30">
        <v>8.85</v>
      </c>
      <c r="S12" s="32">
        <v>15.5</v>
      </c>
      <c r="T12" s="30">
        <v>2343</v>
      </c>
      <c r="U12" s="33">
        <v>433</v>
      </c>
    </row>
    <row r="13" spans="1:21" x14ac:dyDescent="0.35">
      <c r="A13" s="27" t="s">
        <v>61</v>
      </c>
      <c r="B13" s="28">
        <v>287.10000000000002</v>
      </c>
      <c r="C13" s="28">
        <v>393.6</v>
      </c>
      <c r="D13" s="28">
        <v>399</v>
      </c>
      <c r="E13" s="28">
        <v>22.6</v>
      </c>
      <c r="F13" s="28">
        <v>36.5</v>
      </c>
      <c r="G13" s="28">
        <v>15.2</v>
      </c>
      <c r="H13" s="28">
        <v>290.2</v>
      </c>
      <c r="I13" s="29">
        <v>99880</v>
      </c>
      <c r="J13" s="29">
        <v>38680</v>
      </c>
      <c r="K13" s="28">
        <v>16.5</v>
      </c>
      <c r="L13" s="30">
        <v>10.3</v>
      </c>
      <c r="M13" s="29">
        <v>5075</v>
      </c>
      <c r="N13" s="29">
        <v>1939</v>
      </c>
      <c r="O13" s="29">
        <v>5812</v>
      </c>
      <c r="P13" s="29">
        <v>2949</v>
      </c>
      <c r="Q13" s="31">
        <v>0.83499999999999996</v>
      </c>
      <c r="R13" s="30">
        <v>10.199999999999999</v>
      </c>
      <c r="S13" s="32">
        <v>12.3</v>
      </c>
      <c r="T13" s="30">
        <v>1441</v>
      </c>
      <c r="U13" s="33">
        <v>366</v>
      </c>
    </row>
    <row r="14" spans="1:21" x14ac:dyDescent="0.35">
      <c r="A14" s="27" t="s">
        <v>62</v>
      </c>
      <c r="B14" s="28">
        <v>235.1</v>
      </c>
      <c r="C14" s="28">
        <v>381</v>
      </c>
      <c r="D14" s="28">
        <v>394.8</v>
      </c>
      <c r="E14" s="28">
        <v>18.399999999999999</v>
      </c>
      <c r="F14" s="28">
        <v>30.2</v>
      </c>
      <c r="G14" s="28">
        <v>15.2</v>
      </c>
      <c r="H14" s="28">
        <v>290.2</v>
      </c>
      <c r="I14" s="29">
        <v>79080</v>
      </c>
      <c r="J14" s="29">
        <v>30990</v>
      </c>
      <c r="K14" s="28">
        <v>16.3</v>
      </c>
      <c r="L14" s="30">
        <v>10.199999999999999</v>
      </c>
      <c r="M14" s="29">
        <v>4151</v>
      </c>
      <c r="N14" s="29">
        <v>1570</v>
      </c>
      <c r="O14" s="29">
        <v>4687</v>
      </c>
      <c r="P14" s="29">
        <v>2383</v>
      </c>
      <c r="Q14" s="31">
        <v>0.83399999999999996</v>
      </c>
      <c r="R14" s="30">
        <v>12.1</v>
      </c>
      <c r="S14" s="32">
        <v>9.5399999999999991</v>
      </c>
      <c r="T14" s="30">
        <v>812</v>
      </c>
      <c r="U14" s="33">
        <v>299</v>
      </c>
    </row>
    <row r="15" spans="1:21" x14ac:dyDescent="0.35">
      <c r="A15" s="27" t="s">
        <v>63</v>
      </c>
      <c r="B15" s="28">
        <v>201.9</v>
      </c>
      <c r="C15" s="28">
        <v>374.6</v>
      </c>
      <c r="D15" s="28">
        <v>374.7</v>
      </c>
      <c r="E15" s="28">
        <v>16.5</v>
      </c>
      <c r="F15" s="28">
        <v>27</v>
      </c>
      <c r="G15" s="28">
        <v>15.2</v>
      </c>
      <c r="H15" s="28">
        <v>290.2</v>
      </c>
      <c r="I15" s="29">
        <v>66260</v>
      </c>
      <c r="J15" s="29">
        <v>23690</v>
      </c>
      <c r="K15" s="28">
        <v>16.100000000000001</v>
      </c>
      <c r="L15" s="30">
        <v>9.6</v>
      </c>
      <c r="M15" s="29">
        <v>3538</v>
      </c>
      <c r="N15" s="29">
        <v>1264</v>
      </c>
      <c r="O15" s="29">
        <v>3972</v>
      </c>
      <c r="P15" s="29">
        <v>1920</v>
      </c>
      <c r="Q15" s="31">
        <v>0.84399999999999997</v>
      </c>
      <c r="R15" s="30">
        <v>13.4</v>
      </c>
      <c r="S15" s="32">
        <v>7.16</v>
      </c>
      <c r="T15" s="30">
        <v>558</v>
      </c>
      <c r="U15" s="33">
        <v>257</v>
      </c>
    </row>
    <row r="16" spans="1:21" x14ac:dyDescent="0.35">
      <c r="A16" s="27" t="s">
        <v>64</v>
      </c>
      <c r="B16" s="28">
        <v>177</v>
      </c>
      <c r="C16" s="28">
        <v>368.2</v>
      </c>
      <c r="D16" s="28">
        <v>372.6</v>
      </c>
      <c r="E16" s="28">
        <v>14.4</v>
      </c>
      <c r="F16" s="28">
        <v>23.8</v>
      </c>
      <c r="G16" s="28">
        <v>15.2</v>
      </c>
      <c r="H16" s="28">
        <v>290.2</v>
      </c>
      <c r="I16" s="29">
        <v>57120</v>
      </c>
      <c r="J16" s="29">
        <v>20530</v>
      </c>
      <c r="K16" s="28">
        <v>15.9</v>
      </c>
      <c r="L16" s="30">
        <v>9.5399999999999991</v>
      </c>
      <c r="M16" s="29">
        <v>3103</v>
      </c>
      <c r="N16" s="29">
        <v>1102</v>
      </c>
      <c r="O16" s="29">
        <v>3455</v>
      </c>
      <c r="P16" s="29">
        <v>1671</v>
      </c>
      <c r="Q16" s="31">
        <v>0.84399999999999997</v>
      </c>
      <c r="R16" s="30">
        <v>15</v>
      </c>
      <c r="S16" s="32">
        <v>6.09</v>
      </c>
      <c r="T16" s="30">
        <v>381</v>
      </c>
      <c r="U16" s="33">
        <v>226</v>
      </c>
    </row>
    <row r="17" spans="1:21" x14ac:dyDescent="0.35">
      <c r="A17" s="27" t="s">
        <v>65</v>
      </c>
      <c r="B17" s="28">
        <v>152.9</v>
      </c>
      <c r="C17" s="28">
        <v>362</v>
      </c>
      <c r="D17" s="28">
        <v>370.5</v>
      </c>
      <c r="E17" s="28">
        <v>12.3</v>
      </c>
      <c r="F17" s="28">
        <v>20.7</v>
      </c>
      <c r="G17" s="28">
        <v>15.2</v>
      </c>
      <c r="H17" s="28">
        <v>290.2</v>
      </c>
      <c r="I17" s="29">
        <v>48590</v>
      </c>
      <c r="J17" s="29">
        <v>17550</v>
      </c>
      <c r="K17" s="28">
        <v>15.8</v>
      </c>
      <c r="L17" s="30">
        <v>9.49</v>
      </c>
      <c r="M17" s="29">
        <v>2684</v>
      </c>
      <c r="N17" s="29">
        <v>948</v>
      </c>
      <c r="O17" s="29">
        <v>2965</v>
      </c>
      <c r="P17" s="29">
        <v>1435</v>
      </c>
      <c r="Q17" s="31">
        <v>0.84399999999999997</v>
      </c>
      <c r="R17" s="30">
        <v>17</v>
      </c>
      <c r="S17" s="32">
        <v>5.1100000000000003</v>
      </c>
      <c r="T17" s="30">
        <v>251</v>
      </c>
      <c r="U17" s="33">
        <v>195</v>
      </c>
    </row>
    <row r="18" spans="1:21" x14ac:dyDescent="0.35">
      <c r="A18" s="27" t="s">
        <v>66</v>
      </c>
      <c r="B18" s="28">
        <v>129</v>
      </c>
      <c r="C18" s="28">
        <v>355.6</v>
      </c>
      <c r="D18" s="28">
        <v>368.6</v>
      </c>
      <c r="E18" s="28">
        <v>10.4</v>
      </c>
      <c r="F18" s="28">
        <v>17.5</v>
      </c>
      <c r="G18" s="28">
        <v>15.2</v>
      </c>
      <c r="H18" s="28">
        <v>290.2</v>
      </c>
      <c r="I18" s="29">
        <v>40250</v>
      </c>
      <c r="J18" s="29">
        <v>14610</v>
      </c>
      <c r="K18" s="28">
        <v>15.6</v>
      </c>
      <c r="L18" s="30">
        <v>9.43</v>
      </c>
      <c r="M18" s="29">
        <v>2264</v>
      </c>
      <c r="N18" s="29">
        <v>793</v>
      </c>
      <c r="O18" s="29">
        <v>2479</v>
      </c>
      <c r="P18" s="29">
        <v>1199</v>
      </c>
      <c r="Q18" s="31">
        <v>0.84399999999999997</v>
      </c>
      <c r="R18" s="30">
        <v>19.899999999999999</v>
      </c>
      <c r="S18" s="32">
        <v>4.18</v>
      </c>
      <c r="T18" s="30">
        <v>153</v>
      </c>
      <c r="U18" s="33">
        <v>164</v>
      </c>
    </row>
    <row r="19" spans="1:21" x14ac:dyDescent="0.35">
      <c r="A19" s="27" t="s">
        <v>67</v>
      </c>
      <c r="B19" s="28">
        <v>282.89999999999998</v>
      </c>
      <c r="C19" s="28">
        <v>365.3</v>
      </c>
      <c r="D19" s="28">
        <v>322.2</v>
      </c>
      <c r="E19" s="28">
        <v>26.8</v>
      </c>
      <c r="F19" s="28">
        <v>44.1</v>
      </c>
      <c r="G19" s="28">
        <v>15.2</v>
      </c>
      <c r="H19" s="28">
        <v>246.7</v>
      </c>
      <c r="I19" s="29">
        <v>78870</v>
      </c>
      <c r="J19" s="29">
        <v>24630</v>
      </c>
      <c r="K19" s="28">
        <v>14.8</v>
      </c>
      <c r="L19" s="30">
        <v>8.27</v>
      </c>
      <c r="M19" s="29">
        <v>4318</v>
      </c>
      <c r="N19" s="29">
        <v>1529</v>
      </c>
      <c r="O19" s="29">
        <v>5105</v>
      </c>
      <c r="P19" s="29">
        <v>2342</v>
      </c>
      <c r="Q19" s="31">
        <v>0.85499999999999998</v>
      </c>
      <c r="R19" s="30">
        <v>7.65</v>
      </c>
      <c r="S19" s="32">
        <v>6.35</v>
      </c>
      <c r="T19" s="30">
        <v>2034</v>
      </c>
      <c r="U19" s="33">
        <v>360</v>
      </c>
    </row>
    <row r="20" spans="1:21" x14ac:dyDescent="0.35">
      <c r="A20" s="27" t="s">
        <v>68</v>
      </c>
      <c r="B20" s="28">
        <v>240</v>
      </c>
      <c r="C20" s="28">
        <v>352.5</v>
      </c>
      <c r="D20" s="28">
        <v>318.39999999999998</v>
      </c>
      <c r="E20" s="28">
        <v>23</v>
      </c>
      <c r="F20" s="28">
        <v>37.700000000000003</v>
      </c>
      <c r="G20" s="28">
        <v>15.2</v>
      </c>
      <c r="H20" s="28">
        <v>246.7</v>
      </c>
      <c r="I20" s="29">
        <v>64200</v>
      </c>
      <c r="J20" s="29">
        <v>20310</v>
      </c>
      <c r="K20" s="28">
        <v>14.5</v>
      </c>
      <c r="L20" s="30">
        <v>8.15</v>
      </c>
      <c r="M20" s="29">
        <v>3643</v>
      </c>
      <c r="N20" s="29">
        <v>1276</v>
      </c>
      <c r="O20" s="29">
        <v>4247</v>
      </c>
      <c r="P20" s="29">
        <v>1951</v>
      </c>
      <c r="Q20" s="31">
        <v>0.85399999999999998</v>
      </c>
      <c r="R20" s="30">
        <v>8.74</v>
      </c>
      <c r="S20" s="32">
        <v>5.03</v>
      </c>
      <c r="T20" s="30">
        <v>1271</v>
      </c>
      <c r="U20" s="33">
        <v>306</v>
      </c>
    </row>
    <row r="21" spans="1:21" x14ac:dyDescent="0.35">
      <c r="A21" s="27" t="s">
        <v>69</v>
      </c>
      <c r="B21" s="28">
        <v>198.1</v>
      </c>
      <c r="C21" s="28">
        <v>339.9</v>
      </c>
      <c r="D21" s="28">
        <v>314.5</v>
      </c>
      <c r="E21" s="28">
        <v>19.100000000000001</v>
      </c>
      <c r="F21" s="28">
        <v>31.4</v>
      </c>
      <c r="G21" s="28">
        <v>15.2</v>
      </c>
      <c r="H21" s="28">
        <v>246.7</v>
      </c>
      <c r="I21" s="29">
        <v>50900</v>
      </c>
      <c r="J21" s="29">
        <v>16300</v>
      </c>
      <c r="K21" s="28">
        <v>14.2</v>
      </c>
      <c r="L21" s="30">
        <v>8.0399999999999991</v>
      </c>
      <c r="M21" s="29">
        <v>2995</v>
      </c>
      <c r="N21" s="29">
        <v>1037</v>
      </c>
      <c r="O21" s="29">
        <v>3440</v>
      </c>
      <c r="P21" s="29">
        <v>1581</v>
      </c>
      <c r="Q21" s="31">
        <v>0.85399999999999998</v>
      </c>
      <c r="R21" s="30">
        <v>10.199999999999999</v>
      </c>
      <c r="S21" s="32">
        <v>3.88</v>
      </c>
      <c r="T21" s="30">
        <v>734</v>
      </c>
      <c r="U21" s="33">
        <v>252</v>
      </c>
    </row>
    <row r="22" spans="1:21" x14ac:dyDescent="0.35">
      <c r="A22" s="27" t="s">
        <v>70</v>
      </c>
      <c r="B22" s="28">
        <v>158.1</v>
      </c>
      <c r="C22" s="28">
        <v>327.10000000000002</v>
      </c>
      <c r="D22" s="28">
        <v>311.2</v>
      </c>
      <c r="E22" s="28">
        <v>15.8</v>
      </c>
      <c r="F22" s="28">
        <v>25</v>
      </c>
      <c r="G22" s="28">
        <v>15.2</v>
      </c>
      <c r="H22" s="28">
        <v>246.7</v>
      </c>
      <c r="I22" s="29">
        <v>38750</v>
      </c>
      <c r="J22" s="29">
        <v>12570</v>
      </c>
      <c r="K22" s="28">
        <v>13.9</v>
      </c>
      <c r="L22" s="30">
        <v>7.9</v>
      </c>
      <c r="M22" s="29">
        <v>2369</v>
      </c>
      <c r="N22" s="29">
        <v>808</v>
      </c>
      <c r="O22" s="29">
        <v>2680</v>
      </c>
      <c r="P22" s="29">
        <v>1230</v>
      </c>
      <c r="Q22" s="31">
        <v>0.85099999999999998</v>
      </c>
      <c r="R22" s="30">
        <v>12.5</v>
      </c>
      <c r="S22" s="32">
        <v>2.87</v>
      </c>
      <c r="T22" s="30">
        <v>378</v>
      </c>
      <c r="U22" s="33">
        <v>201</v>
      </c>
    </row>
    <row r="23" spans="1:21" x14ac:dyDescent="0.35">
      <c r="A23" s="27" t="s">
        <v>71</v>
      </c>
      <c r="B23" s="28">
        <v>136.9</v>
      </c>
      <c r="C23" s="28">
        <v>320.5</v>
      </c>
      <c r="D23" s="28">
        <v>309.2</v>
      </c>
      <c r="E23" s="28">
        <v>13.8</v>
      </c>
      <c r="F23" s="28">
        <v>21.7</v>
      </c>
      <c r="G23" s="28">
        <v>15.2</v>
      </c>
      <c r="H23" s="28">
        <v>246.7</v>
      </c>
      <c r="I23" s="29">
        <v>32810</v>
      </c>
      <c r="J23" s="29">
        <v>10700</v>
      </c>
      <c r="K23" s="28">
        <v>13.7</v>
      </c>
      <c r="L23" s="30">
        <v>7.83</v>
      </c>
      <c r="M23" s="29">
        <v>2048</v>
      </c>
      <c r="N23" s="29">
        <v>692</v>
      </c>
      <c r="O23" s="29">
        <v>2297</v>
      </c>
      <c r="P23" s="29">
        <v>1053</v>
      </c>
      <c r="Q23" s="31">
        <v>0.85099999999999998</v>
      </c>
      <c r="R23" s="30">
        <v>14.2</v>
      </c>
      <c r="S23" s="32">
        <v>2.39</v>
      </c>
      <c r="T23" s="30">
        <v>249</v>
      </c>
      <c r="U23" s="33">
        <v>174</v>
      </c>
    </row>
    <row r="24" spans="1:21" x14ac:dyDescent="0.35">
      <c r="A24" s="27" t="s">
        <v>72</v>
      </c>
      <c r="B24" s="28">
        <v>117.9</v>
      </c>
      <c r="C24" s="28">
        <v>314.5</v>
      </c>
      <c r="D24" s="28">
        <v>307.39999999999998</v>
      </c>
      <c r="E24" s="28">
        <v>12</v>
      </c>
      <c r="F24" s="28">
        <v>18.7</v>
      </c>
      <c r="G24" s="28">
        <v>15.2</v>
      </c>
      <c r="H24" s="28">
        <v>246.7</v>
      </c>
      <c r="I24" s="29">
        <v>27670</v>
      </c>
      <c r="J24" s="29">
        <v>9059</v>
      </c>
      <c r="K24" s="28">
        <v>13.6</v>
      </c>
      <c r="L24" s="30">
        <v>7.77</v>
      </c>
      <c r="M24" s="29">
        <v>1760</v>
      </c>
      <c r="N24" s="29">
        <v>589</v>
      </c>
      <c r="O24" s="29">
        <v>1958</v>
      </c>
      <c r="P24" s="29">
        <v>895</v>
      </c>
      <c r="Q24" s="31">
        <v>0.85</v>
      </c>
      <c r="R24" s="30">
        <v>16.2</v>
      </c>
      <c r="S24" s="32">
        <v>1.98</v>
      </c>
      <c r="T24" s="30">
        <v>161</v>
      </c>
      <c r="U24" s="33">
        <v>150</v>
      </c>
    </row>
    <row r="25" spans="1:21" x14ac:dyDescent="0.35">
      <c r="A25" s="27" t="s">
        <v>73</v>
      </c>
      <c r="B25" s="28">
        <v>96.9</v>
      </c>
      <c r="C25" s="28">
        <v>307.89999999999998</v>
      </c>
      <c r="D25" s="28">
        <v>305.3</v>
      </c>
      <c r="E25" s="28">
        <v>9.9</v>
      </c>
      <c r="F25" s="28">
        <v>15.4</v>
      </c>
      <c r="G25" s="28">
        <v>15.2</v>
      </c>
      <c r="H25" s="28">
        <v>246.7</v>
      </c>
      <c r="I25" s="29">
        <v>22250</v>
      </c>
      <c r="J25" s="29">
        <v>7308</v>
      </c>
      <c r="K25" s="28">
        <v>13.4</v>
      </c>
      <c r="L25" s="30">
        <v>7.69</v>
      </c>
      <c r="M25" s="29">
        <v>1445</v>
      </c>
      <c r="N25" s="29">
        <v>479</v>
      </c>
      <c r="O25" s="29">
        <v>1592</v>
      </c>
      <c r="P25" s="29">
        <v>726</v>
      </c>
      <c r="Q25" s="31">
        <v>0.85</v>
      </c>
      <c r="R25" s="30">
        <v>19.3</v>
      </c>
      <c r="S25" s="32">
        <v>1.56</v>
      </c>
      <c r="T25" s="30">
        <v>91.2</v>
      </c>
      <c r="U25" s="33">
        <v>123</v>
      </c>
    </row>
    <row r="26" spans="1:21" x14ac:dyDescent="0.35">
      <c r="A26" s="27" t="s">
        <v>74</v>
      </c>
      <c r="B26" s="28">
        <v>167.1</v>
      </c>
      <c r="C26" s="28">
        <v>289.10000000000002</v>
      </c>
      <c r="D26" s="28">
        <v>265.2</v>
      </c>
      <c r="E26" s="28">
        <v>19.2</v>
      </c>
      <c r="F26" s="28">
        <v>31.7</v>
      </c>
      <c r="G26" s="28">
        <v>12.7</v>
      </c>
      <c r="H26" s="28">
        <v>200.3</v>
      </c>
      <c r="I26" s="29">
        <v>30000</v>
      </c>
      <c r="J26" s="29">
        <v>9870</v>
      </c>
      <c r="K26" s="28">
        <v>11.9</v>
      </c>
      <c r="L26" s="30">
        <v>6.81</v>
      </c>
      <c r="M26" s="29">
        <v>2075</v>
      </c>
      <c r="N26" s="29">
        <v>744</v>
      </c>
      <c r="O26" s="29">
        <v>2424</v>
      </c>
      <c r="P26" s="29">
        <v>1137</v>
      </c>
      <c r="Q26" s="31">
        <v>0.85099999999999998</v>
      </c>
      <c r="R26" s="30">
        <v>8.49</v>
      </c>
      <c r="S26" s="32">
        <v>1.63</v>
      </c>
      <c r="T26" s="30">
        <v>626</v>
      </c>
      <c r="U26" s="33">
        <v>213</v>
      </c>
    </row>
    <row r="27" spans="1:21" x14ac:dyDescent="0.35">
      <c r="A27" s="27" t="s">
        <v>75</v>
      </c>
      <c r="B27" s="28">
        <v>132</v>
      </c>
      <c r="C27" s="28">
        <v>276.3</v>
      </c>
      <c r="D27" s="28">
        <v>261.3</v>
      </c>
      <c r="E27" s="28">
        <v>15.3</v>
      </c>
      <c r="F27" s="28">
        <v>25.3</v>
      </c>
      <c r="G27" s="28">
        <v>12.7</v>
      </c>
      <c r="H27" s="28">
        <v>200.3</v>
      </c>
      <c r="I27" s="29">
        <v>22530</v>
      </c>
      <c r="J27" s="29">
        <v>7531</v>
      </c>
      <c r="K27" s="28">
        <v>11.6</v>
      </c>
      <c r="L27" s="30">
        <v>6.69</v>
      </c>
      <c r="M27" s="29">
        <v>1631</v>
      </c>
      <c r="N27" s="29">
        <v>576</v>
      </c>
      <c r="O27" s="29">
        <v>1869</v>
      </c>
      <c r="P27" s="29">
        <v>878</v>
      </c>
      <c r="Q27" s="31">
        <v>0.85</v>
      </c>
      <c r="R27" s="30">
        <v>10.3</v>
      </c>
      <c r="S27" s="32">
        <v>1.19</v>
      </c>
      <c r="T27" s="30">
        <v>319</v>
      </c>
      <c r="U27" s="33">
        <v>168</v>
      </c>
    </row>
    <row r="28" spans="1:21" x14ac:dyDescent="0.35">
      <c r="A28" s="27" t="s">
        <v>76</v>
      </c>
      <c r="B28" s="28">
        <v>107.1</v>
      </c>
      <c r="C28" s="28">
        <v>266.7</v>
      </c>
      <c r="D28" s="28">
        <v>258.8</v>
      </c>
      <c r="E28" s="28">
        <v>12.8</v>
      </c>
      <c r="F28" s="28">
        <v>20.5</v>
      </c>
      <c r="G28" s="28">
        <v>12.7</v>
      </c>
      <c r="H28" s="28">
        <v>200.3</v>
      </c>
      <c r="I28" s="29">
        <v>17510</v>
      </c>
      <c r="J28" s="29">
        <v>5928</v>
      </c>
      <c r="K28" s="28">
        <v>11.3</v>
      </c>
      <c r="L28" s="30">
        <v>6.59</v>
      </c>
      <c r="M28" s="29">
        <v>1313</v>
      </c>
      <c r="N28" s="29">
        <v>458</v>
      </c>
      <c r="O28" s="29">
        <v>1484</v>
      </c>
      <c r="P28" s="29">
        <v>697</v>
      </c>
      <c r="Q28" s="31">
        <v>0.84799999999999998</v>
      </c>
      <c r="R28" s="30">
        <v>12.4</v>
      </c>
      <c r="S28" s="32">
        <v>0.89800000000000002</v>
      </c>
      <c r="T28" s="30">
        <v>172</v>
      </c>
      <c r="U28" s="33">
        <v>136</v>
      </c>
    </row>
    <row r="29" spans="1:21" x14ac:dyDescent="0.35">
      <c r="A29" s="27" t="s">
        <v>77</v>
      </c>
      <c r="B29" s="28">
        <v>88.9</v>
      </c>
      <c r="C29" s="28">
        <v>260.3</v>
      </c>
      <c r="D29" s="28">
        <v>256.3</v>
      </c>
      <c r="E29" s="28">
        <v>10.3</v>
      </c>
      <c r="F29" s="28">
        <v>17.3</v>
      </c>
      <c r="G29" s="28">
        <v>12.7</v>
      </c>
      <c r="H29" s="28">
        <v>200.3</v>
      </c>
      <c r="I29" s="29">
        <v>14270</v>
      </c>
      <c r="J29" s="29">
        <v>4857</v>
      </c>
      <c r="K29" s="28">
        <v>11.2</v>
      </c>
      <c r="L29" s="30">
        <v>6.55</v>
      </c>
      <c r="M29" s="29">
        <v>1096</v>
      </c>
      <c r="N29" s="29">
        <v>379</v>
      </c>
      <c r="O29" s="29">
        <v>1224</v>
      </c>
      <c r="P29" s="29">
        <v>575</v>
      </c>
      <c r="Q29" s="31">
        <v>0.85</v>
      </c>
      <c r="R29" s="30">
        <v>14.5</v>
      </c>
      <c r="S29" s="32">
        <v>0.71699999999999997</v>
      </c>
      <c r="T29" s="30">
        <v>102</v>
      </c>
      <c r="U29" s="33">
        <v>113</v>
      </c>
    </row>
    <row r="30" spans="1:21" x14ac:dyDescent="0.35">
      <c r="A30" s="27" t="s">
        <v>78</v>
      </c>
      <c r="B30" s="28">
        <v>73.099999999999994</v>
      </c>
      <c r="C30" s="28">
        <v>254.1</v>
      </c>
      <c r="D30" s="28">
        <v>254.6</v>
      </c>
      <c r="E30" s="28">
        <v>8.6</v>
      </c>
      <c r="F30" s="28">
        <v>14.2</v>
      </c>
      <c r="G30" s="28">
        <v>12.7</v>
      </c>
      <c r="H30" s="28">
        <v>200.3</v>
      </c>
      <c r="I30" s="29">
        <v>11410</v>
      </c>
      <c r="J30" s="29">
        <v>3908</v>
      </c>
      <c r="K30" s="28">
        <v>11.1</v>
      </c>
      <c r="L30" s="30">
        <v>6.48</v>
      </c>
      <c r="M30" s="29">
        <v>898</v>
      </c>
      <c r="N30" s="29">
        <v>307</v>
      </c>
      <c r="O30" s="29">
        <v>992</v>
      </c>
      <c r="P30" s="29">
        <v>465</v>
      </c>
      <c r="Q30" s="31">
        <v>0.84899999999999998</v>
      </c>
      <c r="R30" s="30">
        <v>17.3</v>
      </c>
      <c r="S30" s="32">
        <v>0.56200000000000006</v>
      </c>
      <c r="T30" s="30">
        <v>57.6</v>
      </c>
      <c r="U30" s="33">
        <v>93.1</v>
      </c>
    </row>
    <row r="31" spans="1:21" x14ac:dyDescent="0.35">
      <c r="A31" s="27" t="s">
        <v>79</v>
      </c>
      <c r="B31" s="28">
        <v>86.1</v>
      </c>
      <c r="C31" s="28">
        <v>222.2</v>
      </c>
      <c r="D31" s="28">
        <v>209.1</v>
      </c>
      <c r="E31" s="28">
        <v>12.7</v>
      </c>
      <c r="F31" s="28">
        <v>20.5</v>
      </c>
      <c r="G31" s="28">
        <v>10.199999999999999</v>
      </c>
      <c r="H31" s="28">
        <v>160.80000000000001</v>
      </c>
      <c r="I31" s="29">
        <v>9449</v>
      </c>
      <c r="J31" s="29">
        <v>3127</v>
      </c>
      <c r="K31" s="28">
        <v>9.2799999999999994</v>
      </c>
      <c r="L31" s="30">
        <v>5.34</v>
      </c>
      <c r="M31" s="29">
        <v>850</v>
      </c>
      <c r="N31" s="29">
        <v>299</v>
      </c>
      <c r="O31" s="29">
        <v>977</v>
      </c>
      <c r="P31" s="29">
        <v>456</v>
      </c>
      <c r="Q31" s="31">
        <v>0.85</v>
      </c>
      <c r="R31" s="30">
        <v>10.199999999999999</v>
      </c>
      <c r="S31" s="32">
        <v>0.318</v>
      </c>
      <c r="T31" s="30">
        <v>137</v>
      </c>
      <c r="U31" s="33">
        <v>110</v>
      </c>
    </row>
    <row r="32" spans="1:21" x14ac:dyDescent="0.35">
      <c r="A32" s="27" t="s">
        <v>80</v>
      </c>
      <c r="B32" s="28">
        <v>71</v>
      </c>
      <c r="C32" s="28">
        <v>215.8</v>
      </c>
      <c r="D32" s="28">
        <v>206.4</v>
      </c>
      <c r="E32" s="28">
        <v>10</v>
      </c>
      <c r="F32" s="28">
        <v>17.3</v>
      </c>
      <c r="G32" s="28">
        <v>10.199999999999999</v>
      </c>
      <c r="H32" s="28">
        <v>160.80000000000001</v>
      </c>
      <c r="I32" s="29">
        <v>7618</v>
      </c>
      <c r="J32" s="29">
        <v>2537</v>
      </c>
      <c r="K32" s="28">
        <v>9.18</v>
      </c>
      <c r="L32" s="30">
        <v>5.3</v>
      </c>
      <c r="M32" s="29">
        <v>706</v>
      </c>
      <c r="N32" s="29">
        <v>246</v>
      </c>
      <c r="O32" s="29">
        <v>799</v>
      </c>
      <c r="P32" s="29">
        <v>374</v>
      </c>
      <c r="Q32" s="31">
        <v>0.85299999999999998</v>
      </c>
      <c r="R32" s="30">
        <v>11.9</v>
      </c>
      <c r="S32" s="32">
        <v>0.25</v>
      </c>
      <c r="T32" s="30">
        <v>80.2</v>
      </c>
      <c r="U32" s="33">
        <v>90.4</v>
      </c>
    </row>
    <row r="33" spans="1:21" x14ac:dyDescent="0.35">
      <c r="A33" s="27" t="s">
        <v>81</v>
      </c>
      <c r="B33" s="28">
        <v>60</v>
      </c>
      <c r="C33" s="28">
        <v>209.6</v>
      </c>
      <c r="D33" s="28">
        <v>205.8</v>
      </c>
      <c r="E33" s="28">
        <v>9.4</v>
      </c>
      <c r="F33" s="28">
        <v>14.2</v>
      </c>
      <c r="G33" s="28">
        <v>10.199999999999999</v>
      </c>
      <c r="H33" s="28">
        <v>160.80000000000001</v>
      </c>
      <c r="I33" s="29">
        <v>6125</v>
      </c>
      <c r="J33" s="29">
        <v>2065</v>
      </c>
      <c r="K33" s="28">
        <v>8.9600000000000009</v>
      </c>
      <c r="L33" s="30">
        <v>5.2</v>
      </c>
      <c r="M33" s="29">
        <v>584</v>
      </c>
      <c r="N33" s="29">
        <v>201</v>
      </c>
      <c r="O33" s="29">
        <v>656</v>
      </c>
      <c r="P33" s="29">
        <v>305</v>
      </c>
      <c r="Q33" s="31">
        <v>0.84599999999999997</v>
      </c>
      <c r="R33" s="30">
        <v>14.1</v>
      </c>
      <c r="S33" s="32">
        <v>0.19700000000000001</v>
      </c>
      <c r="T33" s="30">
        <v>4702</v>
      </c>
      <c r="U33" s="33">
        <v>76.400000000000006</v>
      </c>
    </row>
    <row r="34" spans="1:21" x14ac:dyDescent="0.35">
      <c r="A34" s="27" t="s">
        <v>82</v>
      </c>
      <c r="B34" s="28">
        <v>52</v>
      </c>
      <c r="C34" s="28">
        <v>206.2</v>
      </c>
      <c r="D34" s="28">
        <v>204.3</v>
      </c>
      <c r="E34" s="28">
        <v>7.9</v>
      </c>
      <c r="F34" s="28">
        <v>12.5</v>
      </c>
      <c r="G34" s="28">
        <v>10.199999999999999</v>
      </c>
      <c r="H34" s="28">
        <v>160.80000000000001</v>
      </c>
      <c r="I34" s="29">
        <v>5259</v>
      </c>
      <c r="J34" s="29">
        <v>1778</v>
      </c>
      <c r="K34" s="28">
        <v>8.91</v>
      </c>
      <c r="L34" s="30">
        <v>5.18</v>
      </c>
      <c r="M34" s="29">
        <v>510</v>
      </c>
      <c r="N34" s="29">
        <v>174</v>
      </c>
      <c r="O34" s="29">
        <v>567</v>
      </c>
      <c r="P34" s="29">
        <v>264</v>
      </c>
      <c r="Q34" s="31">
        <v>0.84799999999999998</v>
      </c>
      <c r="R34" s="30">
        <v>15.8</v>
      </c>
      <c r="S34" s="32">
        <v>0.16700000000000001</v>
      </c>
      <c r="T34" s="30">
        <v>31.8</v>
      </c>
      <c r="U34" s="33">
        <v>66.3</v>
      </c>
    </row>
    <row r="35" spans="1:21" x14ac:dyDescent="0.35">
      <c r="A35" s="27" t="s">
        <v>83</v>
      </c>
      <c r="B35" s="28">
        <v>46.1</v>
      </c>
      <c r="C35" s="28">
        <v>203.2</v>
      </c>
      <c r="D35" s="28">
        <v>203.6</v>
      </c>
      <c r="E35" s="28">
        <v>7.2</v>
      </c>
      <c r="F35" s="28">
        <v>11</v>
      </c>
      <c r="G35" s="28">
        <v>10.199999999999999</v>
      </c>
      <c r="H35" s="28">
        <v>160.80000000000001</v>
      </c>
      <c r="I35" s="29">
        <v>4568</v>
      </c>
      <c r="J35" s="29">
        <v>1548</v>
      </c>
      <c r="K35" s="28">
        <v>8.82</v>
      </c>
      <c r="L35" s="30">
        <v>5.13</v>
      </c>
      <c r="M35" s="29">
        <v>450</v>
      </c>
      <c r="N35" s="29">
        <v>152</v>
      </c>
      <c r="O35" s="29">
        <v>497</v>
      </c>
      <c r="P35" s="29">
        <v>231</v>
      </c>
      <c r="Q35" s="31">
        <v>0.84699999999999998</v>
      </c>
      <c r="R35" s="30">
        <v>17.7</v>
      </c>
      <c r="S35" s="32">
        <v>0.14299999999999999</v>
      </c>
      <c r="T35" s="30">
        <v>22.2</v>
      </c>
      <c r="U35" s="33">
        <v>58.7</v>
      </c>
    </row>
    <row r="36" spans="1:21" x14ac:dyDescent="0.35">
      <c r="A36" s="27" t="s">
        <v>84</v>
      </c>
      <c r="B36" s="28">
        <v>37</v>
      </c>
      <c r="C36" s="28">
        <v>161.80000000000001</v>
      </c>
      <c r="D36" s="28">
        <v>154.4</v>
      </c>
      <c r="E36" s="28">
        <v>8</v>
      </c>
      <c r="F36" s="28">
        <v>11.5</v>
      </c>
      <c r="G36" s="28">
        <v>7.6</v>
      </c>
      <c r="H36" s="28">
        <v>123.6</v>
      </c>
      <c r="I36" s="29">
        <v>2210</v>
      </c>
      <c r="J36" s="29">
        <v>706</v>
      </c>
      <c r="K36" s="28">
        <v>6.85</v>
      </c>
      <c r="L36" s="30">
        <v>3.87</v>
      </c>
      <c r="M36" s="29">
        <v>273</v>
      </c>
      <c r="N36" s="29">
        <v>91.5</v>
      </c>
      <c r="O36" s="29">
        <v>309</v>
      </c>
      <c r="P36" s="29">
        <v>140</v>
      </c>
      <c r="Q36" s="31">
        <v>0.84799999999999998</v>
      </c>
      <c r="R36" s="30">
        <v>13.3</v>
      </c>
      <c r="S36" s="32">
        <v>3.9899999999999998E-2</v>
      </c>
      <c r="T36" s="30">
        <v>19.2</v>
      </c>
      <c r="U36" s="33">
        <v>47.1</v>
      </c>
    </row>
    <row r="37" spans="1:21" x14ac:dyDescent="0.35">
      <c r="A37" s="27" t="s">
        <v>85</v>
      </c>
      <c r="B37" s="28">
        <v>30</v>
      </c>
      <c r="C37" s="28">
        <v>157.6</v>
      </c>
      <c r="D37" s="28">
        <v>152.9</v>
      </c>
      <c r="E37" s="28">
        <v>6.5</v>
      </c>
      <c r="F37" s="28">
        <v>9.4</v>
      </c>
      <c r="G37" s="28">
        <v>7.6</v>
      </c>
      <c r="H37" s="28">
        <v>123.6</v>
      </c>
      <c r="I37" s="29">
        <v>1748</v>
      </c>
      <c r="J37" s="29">
        <v>560</v>
      </c>
      <c r="K37" s="28">
        <v>6.76</v>
      </c>
      <c r="L37" s="30">
        <v>3.83</v>
      </c>
      <c r="M37" s="29">
        <v>222</v>
      </c>
      <c r="N37" s="29">
        <v>73.3</v>
      </c>
      <c r="O37" s="29">
        <v>248</v>
      </c>
      <c r="P37" s="29">
        <v>112</v>
      </c>
      <c r="Q37" s="31">
        <v>0.84899999999999998</v>
      </c>
      <c r="R37" s="30">
        <v>16</v>
      </c>
      <c r="S37" s="32">
        <v>3.0800000000000001E-2</v>
      </c>
      <c r="T37" s="30">
        <v>10.5</v>
      </c>
      <c r="U37" s="33">
        <v>38.299999999999997</v>
      </c>
    </row>
    <row r="38" spans="1:21" ht="13.15" thickBot="1" x14ac:dyDescent="0.4">
      <c r="A38" s="14" t="s">
        <v>86</v>
      </c>
      <c r="B38" s="15">
        <v>23</v>
      </c>
      <c r="C38" s="15">
        <v>152.4</v>
      </c>
      <c r="D38" s="15">
        <v>152.19999999999999</v>
      </c>
      <c r="E38" s="15">
        <v>5.8</v>
      </c>
      <c r="F38" s="15">
        <v>6.8</v>
      </c>
      <c r="G38" s="15">
        <v>7.6</v>
      </c>
      <c r="H38" s="15">
        <v>123.6</v>
      </c>
      <c r="I38" s="16">
        <v>1250</v>
      </c>
      <c r="J38" s="16">
        <v>400</v>
      </c>
      <c r="K38" s="15">
        <v>6.54</v>
      </c>
      <c r="L38" s="17">
        <v>3.7</v>
      </c>
      <c r="M38" s="16">
        <v>164</v>
      </c>
      <c r="N38" s="16">
        <v>52.6</v>
      </c>
      <c r="O38" s="16">
        <v>182</v>
      </c>
      <c r="P38" s="16">
        <v>80.2</v>
      </c>
      <c r="Q38" s="18">
        <v>0.84</v>
      </c>
      <c r="R38" s="17">
        <v>20.7</v>
      </c>
      <c r="S38" s="19">
        <v>2.12E-2</v>
      </c>
      <c r="T38" s="17">
        <v>4.63</v>
      </c>
      <c r="U38" s="34">
        <v>29.2</v>
      </c>
    </row>
    <row r="40" spans="1:21" x14ac:dyDescent="0.3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</row>
    <row r="41" spans="1:21" x14ac:dyDescent="0.3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</row>
    <row r="42" spans="1:21" x14ac:dyDescent="0.3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</row>
    <row r="43" spans="1:21" x14ac:dyDescent="0.3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3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</row>
    <row r="45" spans="1:21" x14ac:dyDescent="0.3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3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</row>
    <row r="47" spans="1:21" x14ac:dyDescent="0.3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</row>
  </sheetData>
  <mergeCells count="10">
    <mergeCell ref="A4:A5"/>
    <mergeCell ref="E1:F1"/>
    <mergeCell ref="I1:J1"/>
    <mergeCell ref="K1:L1"/>
    <mergeCell ref="M1:N1"/>
    <mergeCell ref="O1:P1"/>
    <mergeCell ref="I2:J2"/>
    <mergeCell ref="K2:L2"/>
    <mergeCell ref="M2:N2"/>
    <mergeCell ref="O2:P2"/>
  </mergeCells>
  <phoneticPr fontId="6" type="noConversion"/>
  <dataValidations count="1">
    <dataValidation type="list" allowBlank="1" showInputMessage="1" showErrorMessage="1" sqref="A7:A38" xr:uid="{8F60BA67-A24C-412E-A1B3-90EB95465B9D}">
      <formula1>ucsection</formula1>
    </dataValidation>
  </dataValidations>
  <pageMargins left="0.55118110236220474" right="0.55118110236220474" top="0.59055118110236227" bottom="0.59055118110236227" header="0.51181102362204722" footer="0.51181102362204722"/>
  <pageSetup paperSize="9" scale="7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EB649-6D58-4EE7-B0A9-BB5D8E838C93}">
  <sheetPr codeName="Sheet2"/>
  <dimension ref="A1:C5"/>
  <sheetViews>
    <sheetView workbookViewId="0">
      <selection activeCell="F10" sqref="F10"/>
    </sheetView>
  </sheetViews>
  <sheetFormatPr defaultRowHeight="13.9" x14ac:dyDescent="0.4"/>
  <cols>
    <col min="2" max="2" width="11.46484375" customWidth="1"/>
    <col min="3" max="3" width="9.9296875" customWidth="1"/>
  </cols>
  <sheetData>
    <row r="1" spans="1:3" x14ac:dyDescent="0.4">
      <c r="A1" s="47" t="s">
        <v>87</v>
      </c>
      <c r="B1" s="47" t="s">
        <v>104</v>
      </c>
      <c r="C1" s="47" t="s">
        <v>106</v>
      </c>
    </row>
    <row r="2" spans="1:3" x14ac:dyDescent="0.4">
      <c r="A2" s="47" t="s">
        <v>88</v>
      </c>
      <c r="B2" s="47">
        <v>235</v>
      </c>
      <c r="C2" s="47">
        <v>1</v>
      </c>
    </row>
    <row r="3" spans="1:3" x14ac:dyDescent="0.4">
      <c r="A3" s="47" t="s">
        <v>89</v>
      </c>
      <c r="B3" s="47">
        <v>275</v>
      </c>
      <c r="C3" s="47">
        <v>1.1000000000000001</v>
      </c>
    </row>
    <row r="4" spans="1:3" x14ac:dyDescent="0.4">
      <c r="A4" s="47" t="s">
        <v>90</v>
      </c>
      <c r="B4" s="47">
        <v>355</v>
      </c>
      <c r="C4" s="47">
        <v>1.3</v>
      </c>
    </row>
    <row r="5" spans="1:3" x14ac:dyDescent="0.4">
      <c r="A5" s="46"/>
      <c r="B5" s="46" t="s">
        <v>105</v>
      </c>
      <c r="C5" s="46" t="s">
        <v>107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12F4-7AF6-4725-9DDC-8392C8641191}">
  <sheetPr codeName="Sheet3"/>
  <dimension ref="C5:V33"/>
  <sheetViews>
    <sheetView tabSelected="1" topLeftCell="A7" zoomScaleNormal="100" workbookViewId="0">
      <selection activeCell="D16" sqref="D16:E16"/>
    </sheetView>
  </sheetViews>
  <sheetFormatPr defaultRowHeight="13.9" x14ac:dyDescent="0.4"/>
  <sheetData>
    <row r="5" spans="3:22" ht="14.25" x14ac:dyDescent="0.45">
      <c r="P5" s="48"/>
      <c r="Q5" s="48"/>
      <c r="S5" t="s">
        <v>123</v>
      </c>
      <c r="T5" t="s">
        <v>126</v>
      </c>
      <c r="U5" t="s">
        <v>124</v>
      </c>
      <c r="V5" t="s">
        <v>125</v>
      </c>
    </row>
    <row r="6" spans="3:22" ht="17.55" customHeight="1" x14ac:dyDescent="0.4">
      <c r="D6" s="93" t="s">
        <v>161</v>
      </c>
      <c r="E6" s="93"/>
      <c r="F6" s="93"/>
      <c r="G6" s="93"/>
      <c r="S6" t="s">
        <v>127</v>
      </c>
      <c r="T6">
        <f>IF(AND(F16&lt;=16,G16&lt;=16),235,IF(AND(40&gt;=F16&gt;16,40&gt;=G16&gt;16),225,IF(AND(80&gt;=F16&gt;40,80&gt;=G16&gt;40),215)))</f>
        <v>225</v>
      </c>
      <c r="U6">
        <f>IF(AND(F16&lt;=16,G16&lt;=16),275,IF(AND(40&gt;=F16&gt;16,40&gt;=G16&gt;16),265,IF(AND(63&gt;=F16&gt;40,63&gt;=G16&gt;40),255,IF(AND(80&gt;=F16&gt;63,80&gt;=G16&gt;63),245))))</f>
        <v>265</v>
      </c>
      <c r="V6">
        <f>IF(AND(F16&lt;=16,G16&lt;=16),355,IF(AND(40&gt;=F16&gt;16,40&gt;=G16&gt;16),345,IF(AND(63&gt;=F16&gt;40,63&gt;=G16&gt;40),335,IF(AND(80&gt;=F16&gt;63,80&gt;=G16&gt;63),325))))</f>
        <v>345</v>
      </c>
    </row>
    <row r="7" spans="3:22" ht="17.55" customHeight="1" x14ac:dyDescent="0.4">
      <c r="D7" s="93"/>
      <c r="E7" s="93"/>
      <c r="F7" s="93"/>
      <c r="G7" s="93"/>
    </row>
    <row r="9" spans="3:22" ht="15.75" x14ac:dyDescent="0.5">
      <c r="C9" s="50"/>
      <c r="D9" s="94" t="s">
        <v>109</v>
      </c>
      <c r="E9" s="95"/>
      <c r="F9" s="94" t="s">
        <v>111</v>
      </c>
      <c r="G9" s="95"/>
      <c r="H9" s="53" t="s">
        <v>157</v>
      </c>
      <c r="I9" s="53" t="s">
        <v>130</v>
      </c>
      <c r="J9" s="53" t="s">
        <v>131</v>
      </c>
      <c r="K9" s="53" t="s">
        <v>159</v>
      </c>
      <c r="L9" s="53" t="s">
        <v>151</v>
      </c>
      <c r="M9" s="53" t="s">
        <v>119</v>
      </c>
      <c r="N9" s="54"/>
      <c r="O9" s="54"/>
      <c r="P9" s="50"/>
      <c r="S9" t="s">
        <v>141</v>
      </c>
    </row>
    <row r="10" spans="3:22" ht="20.25" x14ac:dyDescent="0.4">
      <c r="C10" s="52"/>
      <c r="D10" s="94" t="s">
        <v>110</v>
      </c>
      <c r="E10" s="95"/>
      <c r="F10" s="105" t="s">
        <v>112</v>
      </c>
      <c r="G10" s="105" t="s">
        <v>113</v>
      </c>
      <c r="H10" s="55" t="s">
        <v>119</v>
      </c>
      <c r="I10" s="55" t="s">
        <v>158</v>
      </c>
      <c r="J10" s="55" t="s">
        <v>158</v>
      </c>
      <c r="K10" s="55" t="s">
        <v>131</v>
      </c>
      <c r="L10" s="55" t="s">
        <v>158</v>
      </c>
      <c r="M10" s="55" t="s">
        <v>158</v>
      </c>
      <c r="N10" s="56"/>
      <c r="O10" s="56"/>
      <c r="P10" s="50"/>
      <c r="S10">
        <v>3</v>
      </c>
      <c r="T10">
        <v>4</v>
      </c>
      <c r="U10">
        <v>5</v>
      </c>
      <c r="V10" s="49"/>
    </row>
    <row r="11" spans="3:22" ht="15.4" x14ac:dyDescent="0.45">
      <c r="C11" s="50"/>
      <c r="D11" s="57"/>
      <c r="E11" s="58"/>
      <c r="F11" s="106"/>
      <c r="G11" s="106"/>
      <c r="H11" s="60"/>
      <c r="I11" s="59" t="s">
        <v>109</v>
      </c>
      <c r="J11" s="59" t="s">
        <v>109</v>
      </c>
      <c r="K11" s="60"/>
      <c r="L11" s="59" t="s">
        <v>109</v>
      </c>
      <c r="M11" s="59" t="s">
        <v>160</v>
      </c>
      <c r="N11" s="56"/>
      <c r="O11" s="56"/>
      <c r="P11" s="51"/>
      <c r="Q11" s="48"/>
    </row>
    <row r="12" spans="3:22" ht="14" customHeight="1" x14ac:dyDescent="0.4">
      <c r="C12" s="50"/>
      <c r="D12" s="96" t="s">
        <v>108</v>
      </c>
      <c r="E12" s="97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71"/>
    </row>
    <row r="13" spans="3:22" ht="15" x14ac:dyDescent="0.4">
      <c r="C13" s="50"/>
      <c r="D13" s="98"/>
      <c r="E13" s="99"/>
      <c r="F13" s="55" t="s">
        <v>114</v>
      </c>
      <c r="G13" s="55" t="s">
        <v>115</v>
      </c>
      <c r="H13" s="55" t="s">
        <v>116</v>
      </c>
      <c r="I13" s="55" t="s">
        <v>128</v>
      </c>
      <c r="J13" s="55" t="s">
        <v>129</v>
      </c>
      <c r="K13" s="55" t="s">
        <v>132</v>
      </c>
      <c r="L13" s="55" t="s">
        <v>150</v>
      </c>
      <c r="M13" s="55" t="s">
        <v>142</v>
      </c>
      <c r="N13" s="55" t="s">
        <v>134</v>
      </c>
      <c r="O13" s="56"/>
      <c r="P13" s="71"/>
    </row>
    <row r="14" spans="3:22" ht="15" x14ac:dyDescent="0.4">
      <c r="C14" s="50"/>
      <c r="D14" s="100"/>
      <c r="E14" s="101"/>
      <c r="F14" s="55" t="s">
        <v>120</v>
      </c>
      <c r="G14" s="55" t="s">
        <v>120</v>
      </c>
      <c r="H14" s="55"/>
      <c r="I14" s="55" t="s">
        <v>120</v>
      </c>
      <c r="J14" s="55" t="s">
        <v>120</v>
      </c>
      <c r="K14" s="55" t="s">
        <v>120</v>
      </c>
      <c r="L14" s="55" t="s">
        <v>152</v>
      </c>
      <c r="M14" s="55"/>
      <c r="N14" s="55"/>
      <c r="O14" s="56"/>
      <c r="P14" s="50"/>
    </row>
    <row r="15" spans="3:22" ht="15" x14ac:dyDescent="0.4">
      <c r="C15" s="50"/>
      <c r="D15" s="94" t="s">
        <v>108</v>
      </c>
      <c r="E15" s="95"/>
      <c r="F15" s="61" t="s">
        <v>117</v>
      </c>
      <c r="G15" s="61" t="s">
        <v>118</v>
      </c>
      <c r="H15" s="53" t="s">
        <v>119</v>
      </c>
      <c r="I15" s="53" t="s">
        <v>130</v>
      </c>
      <c r="J15" s="53" t="s">
        <v>131</v>
      </c>
      <c r="K15" s="53" t="s">
        <v>133</v>
      </c>
      <c r="L15" s="53" t="s">
        <v>151</v>
      </c>
      <c r="M15" s="53"/>
      <c r="N15" s="53"/>
      <c r="O15" s="62"/>
      <c r="P15" s="50"/>
    </row>
    <row r="16" spans="3:22" ht="15" x14ac:dyDescent="0.4">
      <c r="C16" s="50"/>
      <c r="D16" s="103" t="s">
        <v>56</v>
      </c>
      <c r="E16" s="104"/>
      <c r="F16" s="61">
        <f>DGET(UCDC,"tWeb",D15:D16)</f>
        <v>47.6</v>
      </c>
      <c r="G16" s="61">
        <f>DGET(UCDC,G15,D15:D16)</f>
        <v>77</v>
      </c>
      <c r="H16" s="61">
        <f>DGET(UCDC,"Radius",D15:D16)</f>
        <v>15.2</v>
      </c>
      <c r="I16" s="61">
        <f>DGET(UCDC,I15,D15:D16)</f>
        <v>474.6</v>
      </c>
      <c r="J16" s="61">
        <f>DGET(UCDC,J15,D15:D16)</f>
        <v>424</v>
      </c>
      <c r="K16" s="61">
        <f>I16/J16</f>
        <v>1.1193396226415095</v>
      </c>
      <c r="L16" s="61">
        <f>DGET(UCDC,L15,D15:D16)</f>
        <v>808</v>
      </c>
      <c r="M16" s="61">
        <f>DGET(UCDC,"rzz",D15:D16)</f>
        <v>11</v>
      </c>
      <c r="N16" s="61">
        <f>IF(AND(K16&gt;1.2,G16&lt;=40),0.34,IF(AND(K16&gt;1.2,100&gt;=G16&gt;40),0.49,IF(AND(K16&lt;=1.2,G16&lt;=100),0.49,IF(AND(K16&lt;=1.2,G16&gt;100),0.76))))</f>
        <v>0.49</v>
      </c>
      <c r="O16" s="63"/>
      <c r="P16" s="50"/>
    </row>
    <row r="17" spans="3:16" x14ac:dyDescent="0.4"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</row>
    <row r="19" spans="3:16" ht="15" x14ac:dyDescent="0.4">
      <c r="C19" s="64"/>
      <c r="D19" s="64"/>
      <c r="E19" s="64" t="s">
        <v>145</v>
      </c>
      <c r="F19" s="64"/>
      <c r="G19" s="65"/>
      <c r="H19" s="66"/>
      <c r="I19" s="66"/>
      <c r="J19" s="66" t="s">
        <v>124</v>
      </c>
      <c r="K19" s="66"/>
      <c r="L19" s="65"/>
      <c r="M19" s="67"/>
      <c r="N19" s="67"/>
      <c r="O19" s="67" t="s">
        <v>125</v>
      </c>
      <c r="P19" s="67"/>
    </row>
    <row r="20" spans="3:16" ht="15" x14ac:dyDescent="0.4">
      <c r="C20" s="64"/>
      <c r="D20" s="64" t="s">
        <v>122</v>
      </c>
      <c r="E20" s="64">
        <f>IF(AND(F16&lt;=16,G16&lt;=16),235,IF(AND(40&gt;=F16&gt;16,40&gt;=G16&gt;16),225,IF(AND(80&gt;=F16&gt;40,80&gt;=G16&gt;40),215)))</f>
        <v>225</v>
      </c>
      <c r="F20" s="64"/>
      <c r="G20" s="65"/>
      <c r="H20" s="66"/>
      <c r="I20" s="66" t="s">
        <v>121</v>
      </c>
      <c r="J20" s="66">
        <f>IF(AND(F16&lt;=16,G16&lt;=16),275,IF(AND(40&gt;=F16&gt;16,40&gt;=G16&gt;16),265,IF(AND(63&gt;=F16&gt;40,63&gt;=G16&gt;40),255,IF(AND(80&gt;=F16&gt;63,80&gt;=G16&gt;63),245))))</f>
        <v>265</v>
      </c>
      <c r="K20" s="66"/>
      <c r="L20" s="65"/>
      <c r="M20" s="67"/>
      <c r="N20" s="67" t="s">
        <v>121</v>
      </c>
      <c r="O20" s="67">
        <f>IF(AND(F16&lt;=16,G16&lt;=16),355,IF(AND(40&gt;=F16&gt;16,40&gt;=G16&gt;16),345,IF(AND(63&gt;=F16&gt;40,63&gt;=G16&gt;40),335,IF(AND(80&gt;=F16&gt;63,80&gt;=G16&gt;63),325))))</f>
        <v>345</v>
      </c>
      <c r="P20" s="67"/>
    </row>
    <row r="21" spans="3:16" ht="15" x14ac:dyDescent="0.4">
      <c r="C21" s="64"/>
      <c r="D21" s="64" t="s">
        <v>142</v>
      </c>
      <c r="E21" s="64">
        <f>DGET(UCDC,"rzz",D15:D16)</f>
        <v>11</v>
      </c>
      <c r="F21" s="64"/>
      <c r="G21" s="65"/>
      <c r="H21" s="66"/>
      <c r="I21" s="66" t="s">
        <v>41</v>
      </c>
      <c r="J21" s="66">
        <f>DGET(UCDC,"rzz",D15:D16)</f>
        <v>11</v>
      </c>
      <c r="K21" s="66"/>
      <c r="L21" s="65"/>
      <c r="M21" s="67"/>
      <c r="N21" s="67" t="s">
        <v>41</v>
      </c>
      <c r="O21" s="67">
        <f>DGET(UCDC,"rzz",I15:I16)</f>
        <v>11</v>
      </c>
      <c r="P21" s="67"/>
    </row>
    <row r="22" spans="3:16" ht="16.05" customHeight="1" x14ac:dyDescent="0.6">
      <c r="C22" s="64"/>
      <c r="D22" s="64" t="s">
        <v>163</v>
      </c>
      <c r="E22" s="68">
        <v>4</v>
      </c>
      <c r="F22" s="64"/>
      <c r="G22" s="65"/>
      <c r="H22" s="66"/>
      <c r="I22" s="66" t="s">
        <v>154</v>
      </c>
      <c r="J22" s="69">
        <v>4</v>
      </c>
      <c r="K22" s="66"/>
      <c r="L22" s="65"/>
      <c r="M22" s="67"/>
      <c r="N22" s="67" t="s">
        <v>153</v>
      </c>
      <c r="O22" s="70">
        <v>4</v>
      </c>
      <c r="P22" s="67"/>
    </row>
    <row r="23" spans="3:16" ht="15" x14ac:dyDescent="0.4">
      <c r="C23" s="64"/>
      <c r="D23" s="64" t="s">
        <v>144</v>
      </c>
      <c r="E23" s="64">
        <f>SQRT(235/E20)</f>
        <v>1.0219806477837261</v>
      </c>
      <c r="F23" s="64"/>
      <c r="G23" s="65"/>
      <c r="H23" s="66"/>
      <c r="I23" s="66" t="s">
        <v>143</v>
      </c>
      <c r="J23" s="66">
        <f>SQRT(235/J20)</f>
        <v>0.94169658214851171</v>
      </c>
      <c r="K23" s="66"/>
      <c r="L23" s="65"/>
      <c r="M23" s="67"/>
      <c r="N23" s="67" t="s">
        <v>143</v>
      </c>
      <c r="O23" s="67">
        <f>SQRT(235/O20)</f>
        <v>0.82532382753065792</v>
      </c>
      <c r="P23" s="67"/>
    </row>
    <row r="24" spans="3:16" ht="15" x14ac:dyDescent="0.4">
      <c r="C24" s="64"/>
      <c r="D24" s="64" t="s">
        <v>147</v>
      </c>
      <c r="E24" s="64">
        <f>93.9*E23</f>
        <v>95.963982826891893</v>
      </c>
      <c r="F24" s="64"/>
      <c r="G24" s="65"/>
      <c r="H24" s="66"/>
      <c r="I24" s="66" t="s">
        <v>146</v>
      </c>
      <c r="J24" s="66">
        <f>93.9*J23</f>
        <v>88.42530906374526</v>
      </c>
      <c r="K24" s="66"/>
      <c r="L24" s="65"/>
      <c r="M24" s="67"/>
      <c r="N24" s="67" t="s">
        <v>146</v>
      </c>
      <c r="O24" s="67">
        <f>93.9*O23</f>
        <v>77.497907405128785</v>
      </c>
      <c r="P24" s="67"/>
    </row>
    <row r="25" spans="3:16" ht="15" x14ac:dyDescent="0.4">
      <c r="C25" s="64"/>
      <c r="D25" s="64" t="s">
        <v>138</v>
      </c>
      <c r="E25" s="64">
        <f>E22/(E21*0.01)</f>
        <v>36.363636363636367</v>
      </c>
      <c r="F25" s="64"/>
      <c r="G25" s="65"/>
      <c r="H25" s="66"/>
      <c r="I25" s="66" t="s">
        <v>137</v>
      </c>
      <c r="J25" s="66">
        <f>J22/(J21*0.01)</f>
        <v>36.363636363636367</v>
      </c>
      <c r="K25" s="66"/>
      <c r="L25" s="65"/>
      <c r="M25" s="67"/>
      <c r="N25" s="67" t="s">
        <v>137</v>
      </c>
      <c r="O25" s="67">
        <f>O22/(O21*0.01)</f>
        <v>36.363636363636367</v>
      </c>
      <c r="P25" s="67"/>
    </row>
    <row r="26" spans="3:16" ht="15" x14ac:dyDescent="0.4">
      <c r="C26" s="64"/>
      <c r="D26" s="64" t="s">
        <v>140</v>
      </c>
      <c r="E26" s="64">
        <f>E25/E24</f>
        <v>0.37893004534036723</v>
      </c>
      <c r="F26" s="64"/>
      <c r="G26" s="65"/>
      <c r="H26" s="66"/>
      <c r="I26" s="66" t="s">
        <v>139</v>
      </c>
      <c r="J26" s="66">
        <f>J25/J24</f>
        <v>0.41123561510451773</v>
      </c>
      <c r="K26" s="66"/>
      <c r="L26" s="65"/>
      <c r="M26" s="67"/>
      <c r="N26" s="67" t="s">
        <v>139</v>
      </c>
      <c r="O26" s="67">
        <f>O25/O24</f>
        <v>0.46922088068186774</v>
      </c>
      <c r="P26" s="67"/>
    </row>
    <row r="27" spans="3:16" ht="15" x14ac:dyDescent="0.4">
      <c r="C27" s="64"/>
      <c r="D27" s="64" t="s">
        <v>136</v>
      </c>
      <c r="E27" s="64">
        <f>0.5*(1+N16*(E26-0.2)+SUMSQ(E26))</f>
        <v>0.61563185073921634</v>
      </c>
      <c r="F27" s="64"/>
      <c r="G27" s="65"/>
      <c r="H27" s="66"/>
      <c r="I27" s="66" t="s">
        <v>135</v>
      </c>
      <c r="J27" s="66">
        <f>0.5*(1+N16*(J26-0.2)+SUMSQ(J26))</f>
        <v>0.6363100912658024</v>
      </c>
      <c r="K27" s="66"/>
      <c r="L27" s="65"/>
      <c r="M27" s="67"/>
      <c r="N27" s="67" t="s">
        <v>135</v>
      </c>
      <c r="O27" s="67">
        <f>0.5*(1+N16*(O26-0.2)+SUMSQ(O26))</f>
        <v>0.67604323320099136</v>
      </c>
      <c r="P27" s="67"/>
    </row>
    <row r="28" spans="3:16" ht="15" x14ac:dyDescent="0.4">
      <c r="C28" s="64"/>
      <c r="D28" s="64" t="s">
        <v>149</v>
      </c>
      <c r="E28" s="64">
        <f>1/(E27+SQRT(SUMX2MY2(E27,E26)))</f>
        <v>0.9084077273860055</v>
      </c>
      <c r="F28" s="64"/>
      <c r="G28" s="65"/>
      <c r="H28" s="66"/>
      <c r="I28" s="66" t="s">
        <v>148</v>
      </c>
      <c r="J28" s="66">
        <f>1/(J27+SQRT(SUMX2MY2(J27,J26)))</f>
        <v>0.8913628403479954</v>
      </c>
      <c r="K28" s="66"/>
      <c r="L28" s="65"/>
      <c r="M28" s="67"/>
      <c r="N28" s="67" t="s">
        <v>148</v>
      </c>
      <c r="O28" s="67">
        <f>1/(O27+SQRT(SUMX2MY2(O27,O26)))</f>
        <v>0.86004321547048568</v>
      </c>
      <c r="P28" s="67"/>
    </row>
    <row r="29" spans="3:16" ht="18" x14ac:dyDescent="0.6">
      <c r="C29" s="64"/>
      <c r="D29" s="64" t="s">
        <v>164</v>
      </c>
      <c r="E29" s="64">
        <f>E28*(L16*100)*E20/1000</f>
        <v>16514.852483877581</v>
      </c>
      <c r="F29" s="64"/>
      <c r="G29" s="65"/>
      <c r="H29" s="66"/>
      <c r="I29" s="66" t="s">
        <v>164</v>
      </c>
      <c r="J29" s="66">
        <f>J28*(L16*100)*J20/1000</f>
        <v>19085.861137531276</v>
      </c>
      <c r="K29" s="66"/>
      <c r="L29" s="65"/>
      <c r="M29" s="67"/>
      <c r="N29" s="67" t="s">
        <v>164</v>
      </c>
      <c r="O29" s="67">
        <f>O28*(L16*100)*O20/1000</f>
        <v>23974.564674455258</v>
      </c>
      <c r="P29" s="67"/>
    </row>
    <row r="31" spans="3:16" x14ac:dyDescent="0.4">
      <c r="G31" s="102" t="s">
        <v>162</v>
      </c>
      <c r="H31" s="102"/>
      <c r="I31" s="102"/>
      <c r="J31" s="102"/>
      <c r="K31" s="102"/>
      <c r="L31" s="102"/>
      <c r="M31" s="102"/>
    </row>
    <row r="32" spans="3:16" x14ac:dyDescent="0.4">
      <c r="G32" s="102"/>
      <c r="H32" s="102"/>
      <c r="I32" s="102"/>
      <c r="J32" s="102"/>
      <c r="K32" s="102"/>
      <c r="L32" s="102"/>
      <c r="M32" s="102"/>
    </row>
    <row r="33" spans="7:13" x14ac:dyDescent="0.4">
      <c r="G33" s="102"/>
      <c r="H33" s="102"/>
      <c r="I33" s="102"/>
      <c r="J33" s="102"/>
      <c r="K33" s="102"/>
      <c r="L33" s="102"/>
      <c r="M33" s="102"/>
    </row>
  </sheetData>
  <mergeCells count="10">
    <mergeCell ref="G31:M33"/>
    <mergeCell ref="D16:E16"/>
    <mergeCell ref="D15:E15"/>
    <mergeCell ref="F10:F11"/>
    <mergeCell ref="G10:G11"/>
    <mergeCell ref="D6:G7"/>
    <mergeCell ref="F9:G9"/>
    <mergeCell ref="D10:E10"/>
    <mergeCell ref="D9:E9"/>
    <mergeCell ref="D12:E14"/>
  </mergeCells>
  <phoneticPr fontId="6" type="noConversion"/>
  <dataValidations count="2">
    <dataValidation type="list" allowBlank="1" showInputMessage="1" showErrorMessage="1" sqref="D16" xr:uid="{7C38BDB0-0A4B-497F-8F0D-E90D935AC4B6}">
      <formula1>ucsection</formula1>
    </dataValidation>
    <dataValidation type="list" allowBlank="1" showInputMessage="1" showErrorMessage="1" sqref="J22 E22 O22" xr:uid="{2B9B9708-405C-4D80-B1A7-D3165DF3A41B}">
      <formula1>"3,4,5"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CE13-9BFB-4329-9A18-13DDF6B3C65E}">
  <sheetPr codeName="Sheet5">
    <pageSetUpPr fitToPage="1"/>
  </sheetPr>
  <dimension ref="A1:AL47"/>
  <sheetViews>
    <sheetView topLeftCell="T1" workbookViewId="0">
      <selection activeCell="AC3" sqref="AC3"/>
    </sheetView>
  </sheetViews>
  <sheetFormatPr defaultColWidth="9.1328125" defaultRowHeight="12.75" x14ac:dyDescent="0.35"/>
  <cols>
    <col min="1" max="1" width="14.73046875" style="4" customWidth="1"/>
    <col min="2" max="3" width="7.73046875" style="4" customWidth="1"/>
    <col min="4" max="4" width="7.46484375" style="4" customWidth="1"/>
    <col min="5" max="5" width="6.3984375" style="4" customWidth="1"/>
    <col min="6" max="6" width="7.1328125" style="4" customWidth="1"/>
    <col min="7" max="7" width="7.265625" style="4" customWidth="1"/>
    <col min="8" max="8" width="8.1328125" style="4" customWidth="1"/>
    <col min="9" max="9" width="8.73046875" style="4" bestFit="1" customWidth="1"/>
    <col min="10" max="10" width="8" style="4" customWidth="1"/>
    <col min="11" max="11" width="7.796875" style="4" customWidth="1"/>
    <col min="12" max="12" width="7.265625" style="4" customWidth="1"/>
    <col min="13" max="13" width="7.3984375" style="4" customWidth="1"/>
    <col min="14" max="14" width="6.73046875" style="4" customWidth="1"/>
    <col min="15" max="15" width="7.73046875" style="4" bestFit="1" customWidth="1"/>
    <col min="16" max="16" width="7.3984375" style="4" customWidth="1"/>
    <col min="17" max="17" width="7.73046875" style="4" customWidth="1"/>
    <col min="18" max="18" width="8" style="4" customWidth="1"/>
    <col min="19" max="19" width="9.265625" style="4" bestFit="1" customWidth="1"/>
    <col min="20" max="20" width="10.1328125" style="4" bestFit="1" customWidth="1"/>
    <col min="21" max="21" width="7.46484375" style="4" customWidth="1"/>
    <col min="22" max="26" width="9.1328125" style="4"/>
    <col min="27" max="27" width="10.59765625" style="4" customWidth="1"/>
    <col min="28" max="28" width="9.1328125" style="4"/>
    <col min="29" max="31" width="9.1328125" style="4" customWidth="1"/>
    <col min="32" max="32" width="12.19921875" style="4" customWidth="1"/>
    <col min="33" max="16384" width="9.1328125" style="4"/>
  </cols>
  <sheetData>
    <row r="1" spans="1:38" x14ac:dyDescent="0.35">
      <c r="A1" s="1" t="s">
        <v>0</v>
      </c>
      <c r="B1" s="2" t="s">
        <v>1</v>
      </c>
      <c r="C1" s="2" t="s">
        <v>2</v>
      </c>
      <c r="D1" s="2" t="s">
        <v>3</v>
      </c>
      <c r="E1" s="91" t="s">
        <v>4</v>
      </c>
      <c r="F1" s="92"/>
      <c r="G1" s="2" t="s">
        <v>5</v>
      </c>
      <c r="H1" s="2" t="s">
        <v>2</v>
      </c>
      <c r="I1" s="86" t="s">
        <v>6</v>
      </c>
      <c r="J1" s="87"/>
      <c r="K1" s="86" t="s">
        <v>7</v>
      </c>
      <c r="L1" s="87"/>
      <c r="M1" s="86" t="s">
        <v>8</v>
      </c>
      <c r="N1" s="87"/>
      <c r="O1" s="86" t="s">
        <v>9</v>
      </c>
      <c r="P1" s="87"/>
      <c r="Q1" s="2" t="s">
        <v>10</v>
      </c>
      <c r="R1" s="2" t="s">
        <v>11</v>
      </c>
      <c r="S1" s="2" t="s">
        <v>12</v>
      </c>
      <c r="T1" s="2" t="s">
        <v>13</v>
      </c>
      <c r="U1" s="3" t="s">
        <v>14</v>
      </c>
    </row>
    <row r="2" spans="1:38" ht="13.15" x14ac:dyDescent="0.4">
      <c r="A2" s="5" t="s">
        <v>15</v>
      </c>
      <c r="B2" s="6" t="s">
        <v>16</v>
      </c>
      <c r="C2" s="6" t="s">
        <v>17</v>
      </c>
      <c r="D2" s="6" t="s">
        <v>17</v>
      </c>
      <c r="E2" s="7" t="s">
        <v>18</v>
      </c>
      <c r="F2" s="7" t="s">
        <v>19</v>
      </c>
      <c r="G2" s="6" t="s">
        <v>20</v>
      </c>
      <c r="H2" s="6" t="s">
        <v>21</v>
      </c>
      <c r="I2" s="88" t="s">
        <v>22</v>
      </c>
      <c r="J2" s="89"/>
      <c r="K2" s="88" t="s">
        <v>23</v>
      </c>
      <c r="L2" s="89"/>
      <c r="M2" s="88" t="s">
        <v>24</v>
      </c>
      <c r="N2" s="89"/>
      <c r="O2" s="88" t="s">
        <v>24</v>
      </c>
      <c r="P2" s="89"/>
      <c r="Q2" s="6" t="s">
        <v>25</v>
      </c>
      <c r="R2" s="6" t="s">
        <v>26</v>
      </c>
      <c r="S2" s="6" t="s">
        <v>27</v>
      </c>
      <c r="T2" s="6" t="s">
        <v>27</v>
      </c>
      <c r="U2" s="8" t="s">
        <v>17</v>
      </c>
      <c r="W2" s="74"/>
      <c r="X2" s="75"/>
      <c r="Y2" s="75"/>
      <c r="Z2" s="75"/>
      <c r="AA2" s="75"/>
      <c r="AB2" s="75"/>
      <c r="AC2" s="75"/>
      <c r="AD2" s="110" t="s">
        <v>155</v>
      </c>
      <c r="AE2" s="110"/>
      <c r="AF2" s="110"/>
      <c r="AG2" s="75"/>
      <c r="AH2" s="76"/>
    </row>
    <row r="3" spans="1:38" ht="13.15" customHeight="1" x14ac:dyDescent="0.4">
      <c r="A3" s="5"/>
      <c r="B3" s="9" t="s">
        <v>28</v>
      </c>
      <c r="C3" s="6" t="s">
        <v>0</v>
      </c>
      <c r="D3" s="6" t="s">
        <v>0</v>
      </c>
      <c r="E3" s="6"/>
      <c r="F3" s="6"/>
      <c r="G3" s="6"/>
      <c r="H3" s="6" t="s">
        <v>29</v>
      </c>
      <c r="I3" s="7" t="s">
        <v>30</v>
      </c>
      <c r="J3" s="7" t="s">
        <v>30</v>
      </c>
      <c r="K3" s="7" t="s">
        <v>30</v>
      </c>
      <c r="L3" s="7" t="s">
        <v>30</v>
      </c>
      <c r="M3" s="7" t="s">
        <v>30</v>
      </c>
      <c r="N3" s="7" t="s">
        <v>30</v>
      </c>
      <c r="O3" s="7" t="s">
        <v>30</v>
      </c>
      <c r="P3" s="7" t="s">
        <v>30</v>
      </c>
      <c r="Q3" s="6"/>
      <c r="R3" s="6"/>
      <c r="S3" s="6"/>
      <c r="T3" s="6"/>
      <c r="U3" s="8" t="s">
        <v>0</v>
      </c>
      <c r="W3" s="78" t="s">
        <v>153</v>
      </c>
      <c r="X3" s="79" t="s">
        <v>165</v>
      </c>
      <c r="Y3" s="83"/>
      <c r="AD3" s="109" t="str">
        <f>INDEX(AF7:AH7,1,MATCH(MIN(AF39:AH39),AF39:AH39,0))</f>
        <v>S235</v>
      </c>
      <c r="AE3" s="109"/>
      <c r="AF3" s="109"/>
      <c r="AH3" s="77"/>
    </row>
    <row r="4" spans="1:38" ht="13.15" x14ac:dyDescent="0.4">
      <c r="A4" s="90" t="s">
        <v>31</v>
      </c>
      <c r="B4" s="6"/>
      <c r="C4" s="6"/>
      <c r="D4" s="6"/>
      <c r="E4" s="6"/>
      <c r="F4" s="6"/>
      <c r="G4" s="6"/>
      <c r="H4" s="6"/>
      <c r="I4" s="6" t="s">
        <v>32</v>
      </c>
      <c r="J4" s="6" t="s">
        <v>33</v>
      </c>
      <c r="K4" s="6" t="s">
        <v>32</v>
      </c>
      <c r="L4" s="6" t="s">
        <v>33</v>
      </c>
      <c r="M4" s="6" t="s">
        <v>32</v>
      </c>
      <c r="N4" s="6" t="s">
        <v>33</v>
      </c>
      <c r="O4" s="6" t="s">
        <v>32</v>
      </c>
      <c r="P4" s="6" t="s">
        <v>33</v>
      </c>
      <c r="Q4" s="6"/>
      <c r="R4" s="6"/>
      <c r="S4" s="6"/>
      <c r="T4" s="6"/>
      <c r="U4" s="8"/>
      <c r="W4" s="85">
        <v>5</v>
      </c>
      <c r="X4" s="84">
        <v>3000</v>
      </c>
      <c r="AD4" s="111" t="s">
        <v>156</v>
      </c>
      <c r="AE4" s="111"/>
      <c r="AF4" s="111"/>
      <c r="AH4" s="77"/>
    </row>
    <row r="5" spans="1:38" ht="15" x14ac:dyDescent="0.5">
      <c r="A5" s="90"/>
      <c r="B5" s="6"/>
      <c r="C5" s="6" t="s">
        <v>34</v>
      </c>
      <c r="D5" s="6" t="s">
        <v>103</v>
      </c>
      <c r="E5" s="6" t="s">
        <v>35</v>
      </c>
      <c r="F5" s="6" t="s">
        <v>36</v>
      </c>
      <c r="G5" s="6" t="s">
        <v>37</v>
      </c>
      <c r="H5" s="6" t="s">
        <v>38</v>
      </c>
      <c r="I5" s="10" t="s">
        <v>39</v>
      </c>
      <c r="J5" s="10" t="s">
        <v>39</v>
      </c>
      <c r="K5" s="6" t="s">
        <v>40</v>
      </c>
      <c r="L5" s="6" t="s">
        <v>41</v>
      </c>
      <c r="M5" s="6" t="s">
        <v>42</v>
      </c>
      <c r="N5" s="6" t="s">
        <v>42</v>
      </c>
      <c r="O5" s="6" t="s">
        <v>43</v>
      </c>
      <c r="P5" s="6" t="s">
        <v>43</v>
      </c>
      <c r="Q5" s="6" t="s">
        <v>44</v>
      </c>
      <c r="R5" s="6" t="s">
        <v>45</v>
      </c>
      <c r="S5" s="6" t="s">
        <v>46</v>
      </c>
      <c r="T5" s="6" t="s">
        <v>47</v>
      </c>
      <c r="U5" s="8" t="s">
        <v>48</v>
      </c>
      <c r="W5" s="80"/>
      <c r="X5" s="81"/>
      <c r="Y5" s="81"/>
      <c r="Z5" s="81"/>
      <c r="AA5" s="81"/>
      <c r="AB5" s="81"/>
      <c r="AC5" s="81"/>
      <c r="AD5" s="112" t="str">
        <f>INDEX(AF40:AH40,1,MATCH(MIN(AF39:AH39),AF39:AH39,0))</f>
        <v>356 x 368 x 129</v>
      </c>
      <c r="AE5" s="112"/>
      <c r="AF5" s="112"/>
      <c r="AG5" s="81"/>
      <c r="AH5" s="82"/>
    </row>
    <row r="6" spans="1:38" ht="14.65" x14ac:dyDescent="0.4">
      <c r="A6" s="11"/>
      <c r="B6" s="12" t="s">
        <v>49</v>
      </c>
      <c r="C6" s="12" t="s">
        <v>50</v>
      </c>
      <c r="D6" s="12" t="s">
        <v>50</v>
      </c>
      <c r="E6" s="12" t="s">
        <v>50</v>
      </c>
      <c r="F6" s="12" t="s">
        <v>50</v>
      </c>
      <c r="G6" s="12" t="s">
        <v>50</v>
      </c>
      <c r="H6" s="12" t="s">
        <v>50</v>
      </c>
      <c r="I6" s="12" t="s">
        <v>51</v>
      </c>
      <c r="J6" s="12" t="s">
        <v>51</v>
      </c>
      <c r="K6" s="12" t="s">
        <v>52</v>
      </c>
      <c r="L6" s="12" t="s">
        <v>52</v>
      </c>
      <c r="M6" s="12" t="s">
        <v>53</v>
      </c>
      <c r="N6" s="12" t="s">
        <v>53</v>
      </c>
      <c r="O6" s="12" t="s">
        <v>53</v>
      </c>
      <c r="P6" s="12" t="s">
        <v>53</v>
      </c>
      <c r="Q6" s="12"/>
      <c r="R6" s="12"/>
      <c r="S6" s="12" t="s">
        <v>54</v>
      </c>
      <c r="T6" s="12" t="s">
        <v>51</v>
      </c>
      <c r="U6" s="13" t="s">
        <v>55</v>
      </c>
      <c r="AF6" s="107" t="s">
        <v>167</v>
      </c>
      <c r="AG6" s="108"/>
      <c r="AH6" s="108"/>
    </row>
    <row r="7" spans="1:38" s="45" customFormat="1" ht="13.5" thickBot="1" x14ac:dyDescent="0.45">
      <c r="A7" s="36" t="s">
        <v>31</v>
      </c>
      <c r="B7" s="37" t="s">
        <v>1</v>
      </c>
      <c r="C7" s="37" t="s">
        <v>2</v>
      </c>
      <c r="D7" s="37" t="s">
        <v>3</v>
      </c>
      <c r="E7" s="37" t="s">
        <v>91</v>
      </c>
      <c r="F7" s="38" t="s">
        <v>92</v>
      </c>
      <c r="G7" s="37" t="s">
        <v>20</v>
      </c>
      <c r="H7" s="39" t="s">
        <v>29</v>
      </c>
      <c r="I7" s="40" t="s">
        <v>93</v>
      </c>
      <c r="J7" s="40" t="s">
        <v>94</v>
      </c>
      <c r="K7" s="37" t="s">
        <v>95</v>
      </c>
      <c r="L7" s="41" t="s">
        <v>96</v>
      </c>
      <c r="M7" s="40" t="s">
        <v>97</v>
      </c>
      <c r="N7" s="40" t="s">
        <v>98</v>
      </c>
      <c r="O7" s="40" t="s">
        <v>99</v>
      </c>
      <c r="P7" s="40" t="s">
        <v>100</v>
      </c>
      <c r="Q7" s="42" t="s">
        <v>44</v>
      </c>
      <c r="R7" s="41" t="s">
        <v>45</v>
      </c>
      <c r="S7" s="43" t="s">
        <v>101</v>
      </c>
      <c r="T7" s="41" t="s">
        <v>102</v>
      </c>
      <c r="U7" s="44" t="s">
        <v>14</v>
      </c>
      <c r="V7" s="72" t="s">
        <v>122</v>
      </c>
      <c r="W7" s="72" t="s">
        <v>144</v>
      </c>
      <c r="X7" s="72" t="s">
        <v>147</v>
      </c>
      <c r="Y7" s="72" t="s">
        <v>138</v>
      </c>
      <c r="Z7" s="72" t="s">
        <v>140</v>
      </c>
      <c r="AA7" s="72" t="s">
        <v>134</v>
      </c>
      <c r="AB7" s="72" t="s">
        <v>135</v>
      </c>
      <c r="AC7" s="72" t="s">
        <v>149</v>
      </c>
      <c r="AD7" s="72" t="s">
        <v>165</v>
      </c>
      <c r="AE7" s="73" t="s">
        <v>166</v>
      </c>
      <c r="AF7" s="72" t="s">
        <v>145</v>
      </c>
      <c r="AG7" s="72" t="s">
        <v>124</v>
      </c>
      <c r="AH7" s="72" t="s">
        <v>125</v>
      </c>
    </row>
    <row r="8" spans="1:38" x14ac:dyDescent="0.35">
      <c r="A8" s="20" t="s">
        <v>56</v>
      </c>
      <c r="B8" s="21">
        <v>633.9</v>
      </c>
      <c r="C8" s="21">
        <v>474.6</v>
      </c>
      <c r="D8" s="21">
        <v>424</v>
      </c>
      <c r="E8" s="21">
        <v>47.6</v>
      </c>
      <c r="F8" s="21">
        <v>77</v>
      </c>
      <c r="G8" s="21">
        <v>15.2</v>
      </c>
      <c r="H8" s="21">
        <v>290.2</v>
      </c>
      <c r="I8" s="22">
        <v>274800</v>
      </c>
      <c r="J8" s="22">
        <v>98130</v>
      </c>
      <c r="K8" s="21">
        <v>18.399999999999999</v>
      </c>
      <c r="L8" s="23">
        <v>11</v>
      </c>
      <c r="M8" s="22">
        <v>11580</v>
      </c>
      <c r="N8" s="22">
        <v>4629</v>
      </c>
      <c r="O8" s="22">
        <v>14240</v>
      </c>
      <c r="P8" s="22">
        <v>7108</v>
      </c>
      <c r="Q8" s="24">
        <v>0.84299999999999997</v>
      </c>
      <c r="R8" s="23">
        <v>5.46</v>
      </c>
      <c r="S8" s="25">
        <v>38.799999999999997</v>
      </c>
      <c r="T8" s="23">
        <v>13720</v>
      </c>
      <c r="U8" s="26">
        <v>808</v>
      </c>
      <c r="V8" s="45">
        <v>325</v>
      </c>
      <c r="W8" s="45">
        <f>SQRT(235/V8)</f>
        <v>0.85033929879602943</v>
      </c>
      <c r="X8" s="45">
        <f>93.9*W8</f>
        <v>79.846860156947173</v>
      </c>
      <c r="Y8" s="45">
        <f>$W$4*100/L8</f>
        <v>45.454545454545453</v>
      </c>
      <c r="Z8" s="45">
        <f>Y8/X8</f>
        <v>0.56927154512024514</v>
      </c>
      <c r="AA8" s="45">
        <f>IF(C8/D8&gt;1.2,IF(F8&lt;=40,0.34,0.49),IF(F8&lt;=100,0.49,0.76))</f>
        <v>0.49</v>
      </c>
      <c r="AB8" s="45">
        <f>0.5*(1+AA8*(Z8-0.2)+SUMSQ(Z8))</f>
        <v>0.7525065745962557</v>
      </c>
      <c r="AC8" s="45">
        <f>1/(AB8+SQRT(SUMX2MY2(AB8,Z8)))</f>
        <v>0.80344468474045971</v>
      </c>
      <c r="AD8" s="45">
        <f>AC8*(U8*100)*V8/1000</f>
        <v>21098.457421284471</v>
      </c>
      <c r="AE8" s="45" t="str">
        <f>IF(AD8&gt;=$X$4,"YES","NO")</f>
        <v>YES</v>
      </c>
      <c r="AF8" s="45">
        <v>3169.5</v>
      </c>
      <c r="AG8" s="45">
        <v>3486.4500000000003</v>
      </c>
      <c r="AH8" s="45">
        <v>4120.3500000000004</v>
      </c>
      <c r="AI8" s="45"/>
      <c r="AJ8" s="45"/>
      <c r="AK8" s="45"/>
      <c r="AL8" s="45"/>
    </row>
    <row r="9" spans="1:38" x14ac:dyDescent="0.35">
      <c r="A9" s="27" t="s">
        <v>57</v>
      </c>
      <c r="B9" s="28">
        <v>551</v>
      </c>
      <c r="C9" s="28">
        <v>455.6</v>
      </c>
      <c r="D9" s="28">
        <v>418.5</v>
      </c>
      <c r="E9" s="28">
        <v>42.1</v>
      </c>
      <c r="F9" s="28">
        <v>67.5</v>
      </c>
      <c r="G9" s="28">
        <v>15.2</v>
      </c>
      <c r="H9" s="28">
        <v>290.2</v>
      </c>
      <c r="I9" s="29">
        <v>226900</v>
      </c>
      <c r="J9" s="29">
        <v>82670</v>
      </c>
      <c r="K9" s="28">
        <v>18</v>
      </c>
      <c r="L9" s="30">
        <v>10.9</v>
      </c>
      <c r="M9" s="29">
        <v>9962</v>
      </c>
      <c r="N9" s="29">
        <v>3951</v>
      </c>
      <c r="O9" s="29">
        <v>12080</v>
      </c>
      <c r="P9" s="29">
        <v>6058</v>
      </c>
      <c r="Q9" s="31">
        <v>0.84099999999999997</v>
      </c>
      <c r="R9" s="30">
        <v>6.05</v>
      </c>
      <c r="S9" s="32">
        <v>31.1</v>
      </c>
      <c r="T9" s="30">
        <v>9240</v>
      </c>
      <c r="U9" s="33">
        <v>702</v>
      </c>
      <c r="V9" s="45">
        <v>325</v>
      </c>
      <c r="W9" s="45">
        <f t="shared" ref="W9:W38" si="0">SQRT(235/V9)</f>
        <v>0.85033929879602943</v>
      </c>
      <c r="X9" s="45">
        <f t="shared" ref="X9:X38" si="1">93.9*W9</f>
        <v>79.846860156947173</v>
      </c>
      <c r="Y9" s="45">
        <f t="shared" ref="Y9:Y38" si="2">$W$4*100/L9</f>
        <v>45.871559633027523</v>
      </c>
      <c r="Z9" s="45">
        <f t="shared" ref="Z9:Z38" si="3">Y9/X9</f>
        <v>0.57449421984611893</v>
      </c>
      <c r="AA9" s="45">
        <f t="shared" ref="AA9:AA38" si="4">IF(C9/D9&gt;1.2,IF(F9&lt;=40,0.34,0.49),IF(F9&lt;=100,0.49,0.76))</f>
        <v>0.49</v>
      </c>
      <c r="AB9" s="45">
        <f t="shared" ref="AB9:AB38" si="5">0.5*(1+AA9*(Z9-0.2)+SUMSQ(Z9))</f>
        <v>0.75677288818059951</v>
      </c>
      <c r="AC9" s="45">
        <f t="shared" ref="AC9:AC38" si="6">1/(AB9+SQRT(SUMX2MY2(AB9,Z9)))</f>
        <v>0.80039710808139997</v>
      </c>
      <c r="AD9" s="45">
        <f t="shared" ref="AD9:AD38" si="7">AC9*(U9*100)*V9/1000</f>
        <v>18261.060020877143</v>
      </c>
      <c r="AE9" s="45" t="str">
        <f t="shared" ref="AE9:AE38" si="8">IF(AD9&gt;=$X$4,"YES","NO")</f>
        <v>YES</v>
      </c>
      <c r="AF9" s="45">
        <v>2755</v>
      </c>
      <c r="AG9" s="45">
        <v>3030.5000000000005</v>
      </c>
      <c r="AH9" s="45">
        <v>3581.5</v>
      </c>
      <c r="AI9" s="45"/>
      <c r="AJ9" s="45"/>
      <c r="AK9" s="45"/>
      <c r="AL9" s="45"/>
    </row>
    <row r="10" spans="1:38" x14ac:dyDescent="0.35">
      <c r="A10" s="27" t="s">
        <v>58</v>
      </c>
      <c r="B10" s="28">
        <v>467</v>
      </c>
      <c r="C10" s="28">
        <v>436.6</v>
      </c>
      <c r="D10" s="28">
        <v>412.2</v>
      </c>
      <c r="E10" s="28">
        <v>35.799999999999997</v>
      </c>
      <c r="F10" s="28">
        <v>58</v>
      </c>
      <c r="G10" s="28">
        <v>15.2</v>
      </c>
      <c r="H10" s="28">
        <v>290.2</v>
      </c>
      <c r="I10" s="29">
        <v>183000</v>
      </c>
      <c r="J10" s="29">
        <v>67830</v>
      </c>
      <c r="K10" s="28">
        <v>17.5</v>
      </c>
      <c r="L10" s="30">
        <v>10.7</v>
      </c>
      <c r="M10" s="29">
        <v>8383</v>
      </c>
      <c r="N10" s="29">
        <v>3291</v>
      </c>
      <c r="O10" s="29">
        <v>10000</v>
      </c>
      <c r="P10" s="29">
        <v>5034</v>
      </c>
      <c r="Q10" s="31">
        <v>0.83899999999999997</v>
      </c>
      <c r="R10" s="30">
        <v>6.86</v>
      </c>
      <c r="S10" s="32">
        <v>24.3</v>
      </c>
      <c r="T10" s="30">
        <v>5809</v>
      </c>
      <c r="U10" s="33">
        <v>595</v>
      </c>
      <c r="V10" s="45">
        <v>335</v>
      </c>
      <c r="W10" s="45">
        <f t="shared" si="0"/>
        <v>0.83755151322974331</v>
      </c>
      <c r="X10" s="45">
        <f t="shared" si="1"/>
        <v>78.646087092272907</v>
      </c>
      <c r="Y10" s="45">
        <f t="shared" si="2"/>
        <v>46.728971962616825</v>
      </c>
      <c r="Z10" s="45">
        <f t="shared" si="3"/>
        <v>0.59416779257932106</v>
      </c>
      <c r="AA10" s="45">
        <f t="shared" si="4"/>
        <v>0.49</v>
      </c>
      <c r="AB10" s="45">
        <f t="shared" si="5"/>
        <v>0.77308879205122527</v>
      </c>
      <c r="AC10" s="45">
        <f t="shared" si="6"/>
        <v>0.7888360353302174</v>
      </c>
      <c r="AD10" s="45">
        <f t="shared" si="7"/>
        <v>15723.474274219558</v>
      </c>
      <c r="AE10" s="45" t="str">
        <f t="shared" si="8"/>
        <v>YES</v>
      </c>
      <c r="AF10" s="45">
        <v>2335</v>
      </c>
      <c r="AG10" s="45">
        <v>2568.5</v>
      </c>
      <c r="AH10" s="45">
        <v>3035.5</v>
      </c>
      <c r="AI10" s="45"/>
      <c r="AJ10" s="45"/>
      <c r="AK10" s="45"/>
      <c r="AL10" s="45"/>
    </row>
    <row r="11" spans="1:38" x14ac:dyDescent="0.35">
      <c r="A11" s="27" t="s">
        <v>59</v>
      </c>
      <c r="B11" s="28">
        <v>393</v>
      </c>
      <c r="C11" s="28">
        <v>419</v>
      </c>
      <c r="D11" s="28">
        <v>407</v>
      </c>
      <c r="E11" s="28">
        <v>30.6</v>
      </c>
      <c r="F11" s="28">
        <v>49.2</v>
      </c>
      <c r="G11" s="28">
        <v>15.2</v>
      </c>
      <c r="H11" s="28">
        <v>290.2</v>
      </c>
      <c r="I11" s="29">
        <v>146600</v>
      </c>
      <c r="J11" s="29">
        <v>55370</v>
      </c>
      <c r="K11" s="28">
        <v>17.100000000000001</v>
      </c>
      <c r="L11" s="30">
        <v>10.5</v>
      </c>
      <c r="M11" s="29">
        <v>6998</v>
      </c>
      <c r="N11" s="29">
        <v>2721</v>
      </c>
      <c r="O11" s="29">
        <v>8222</v>
      </c>
      <c r="P11" s="29">
        <v>4154</v>
      </c>
      <c r="Q11" s="31">
        <v>0.83699999999999997</v>
      </c>
      <c r="R11" s="30">
        <v>7.86</v>
      </c>
      <c r="S11" s="32">
        <v>18.899999999999999</v>
      </c>
      <c r="T11" s="30">
        <v>3545</v>
      </c>
      <c r="U11" s="33">
        <v>501</v>
      </c>
      <c r="V11" s="45">
        <v>335</v>
      </c>
      <c r="W11" s="45">
        <f t="shared" si="0"/>
        <v>0.83755151322974331</v>
      </c>
      <c r="X11" s="45">
        <f t="shared" si="1"/>
        <v>78.646087092272907</v>
      </c>
      <c r="Y11" s="45">
        <f t="shared" si="2"/>
        <v>47.61904761904762</v>
      </c>
      <c r="Z11" s="45">
        <f t="shared" si="3"/>
        <v>0.60548527434273669</v>
      </c>
      <c r="AA11" s="45">
        <f t="shared" si="4"/>
        <v>0.49</v>
      </c>
      <c r="AB11" s="45">
        <f t="shared" si="5"/>
        <v>0.78265010093692</v>
      </c>
      <c r="AC11" s="45">
        <f t="shared" si="6"/>
        <v>0.78212857929075275</v>
      </c>
      <c r="AD11" s="45">
        <f t="shared" si="7"/>
        <v>13126.855010526349</v>
      </c>
      <c r="AE11" s="45" t="str">
        <f t="shared" si="8"/>
        <v>YES</v>
      </c>
      <c r="AF11" s="45">
        <v>1965</v>
      </c>
      <c r="AG11" s="45">
        <v>2161.5</v>
      </c>
      <c r="AH11" s="45">
        <v>2554.5</v>
      </c>
      <c r="AI11" s="45"/>
      <c r="AJ11" s="45"/>
      <c r="AK11" s="45"/>
      <c r="AL11" s="45"/>
    </row>
    <row r="12" spans="1:38" x14ac:dyDescent="0.35">
      <c r="A12" s="27" t="s">
        <v>60</v>
      </c>
      <c r="B12" s="28">
        <v>339.9</v>
      </c>
      <c r="C12" s="28">
        <v>406.4</v>
      </c>
      <c r="D12" s="28">
        <v>403</v>
      </c>
      <c r="E12" s="28">
        <v>26.6</v>
      </c>
      <c r="F12" s="28">
        <v>42.9</v>
      </c>
      <c r="G12" s="28">
        <v>15.2</v>
      </c>
      <c r="H12" s="28">
        <v>290.2</v>
      </c>
      <c r="I12" s="29">
        <v>122500</v>
      </c>
      <c r="J12" s="29">
        <v>46850</v>
      </c>
      <c r="K12" s="28">
        <v>16.8</v>
      </c>
      <c r="L12" s="30">
        <v>10.4</v>
      </c>
      <c r="M12" s="29">
        <v>6031</v>
      </c>
      <c r="N12" s="29">
        <v>2325</v>
      </c>
      <c r="O12" s="29">
        <v>6999</v>
      </c>
      <c r="P12" s="29">
        <v>3544</v>
      </c>
      <c r="Q12" s="31">
        <v>0.83599999999999997</v>
      </c>
      <c r="R12" s="30">
        <v>8.85</v>
      </c>
      <c r="S12" s="32">
        <v>15.5</v>
      </c>
      <c r="T12" s="30">
        <v>2343</v>
      </c>
      <c r="U12" s="33">
        <v>433</v>
      </c>
      <c r="V12" s="45">
        <v>335</v>
      </c>
      <c r="W12" s="45">
        <f t="shared" si="0"/>
        <v>0.83755151322974331</v>
      </c>
      <c r="X12" s="45">
        <f t="shared" si="1"/>
        <v>78.646087092272907</v>
      </c>
      <c r="Y12" s="45">
        <f t="shared" si="2"/>
        <v>48.076923076923073</v>
      </c>
      <c r="Z12" s="45">
        <f t="shared" si="3"/>
        <v>0.61130724813449366</v>
      </c>
      <c r="AA12" s="45">
        <f t="shared" si="4"/>
        <v>0.49</v>
      </c>
      <c r="AB12" s="45">
        <f t="shared" si="5"/>
        <v>0.78761855160383465</v>
      </c>
      <c r="AC12" s="45">
        <f t="shared" si="6"/>
        <v>0.77866237091465695</v>
      </c>
      <c r="AD12" s="45">
        <f t="shared" si="7"/>
        <v>11294.887021302557</v>
      </c>
      <c r="AE12" s="45" t="str">
        <f t="shared" si="8"/>
        <v>YES</v>
      </c>
      <c r="AF12" s="45">
        <v>1699.5</v>
      </c>
      <c r="AG12" s="45">
        <v>1869.45</v>
      </c>
      <c r="AH12" s="45">
        <v>2209.35</v>
      </c>
      <c r="AI12" s="45"/>
      <c r="AJ12" s="45"/>
      <c r="AK12" s="45"/>
      <c r="AL12" s="45"/>
    </row>
    <row r="13" spans="1:38" x14ac:dyDescent="0.35">
      <c r="A13" s="27" t="s">
        <v>61</v>
      </c>
      <c r="B13" s="28">
        <v>287.10000000000002</v>
      </c>
      <c r="C13" s="28">
        <v>393.6</v>
      </c>
      <c r="D13" s="28">
        <v>399</v>
      </c>
      <c r="E13" s="28">
        <v>22.6</v>
      </c>
      <c r="F13" s="28">
        <v>36.5</v>
      </c>
      <c r="G13" s="28">
        <v>15.2</v>
      </c>
      <c r="H13" s="28">
        <v>290.2</v>
      </c>
      <c r="I13" s="29">
        <v>99880</v>
      </c>
      <c r="J13" s="29">
        <v>38680</v>
      </c>
      <c r="K13" s="28">
        <v>16.5</v>
      </c>
      <c r="L13" s="30">
        <v>10.3</v>
      </c>
      <c r="M13" s="29">
        <v>5075</v>
      </c>
      <c r="N13" s="29">
        <v>1939</v>
      </c>
      <c r="O13" s="29">
        <v>5812</v>
      </c>
      <c r="P13" s="29">
        <v>2949</v>
      </c>
      <c r="Q13" s="31">
        <v>0.83499999999999996</v>
      </c>
      <c r="R13" s="30">
        <v>10.199999999999999</v>
      </c>
      <c r="S13" s="32">
        <v>12.3</v>
      </c>
      <c r="T13" s="30">
        <v>1441</v>
      </c>
      <c r="U13" s="33">
        <v>366</v>
      </c>
      <c r="V13" s="45">
        <v>345</v>
      </c>
      <c r="W13" s="45">
        <f t="shared" si="0"/>
        <v>0.82532382753065792</v>
      </c>
      <c r="X13" s="45">
        <f t="shared" si="1"/>
        <v>77.497907405128785</v>
      </c>
      <c r="Y13" s="45">
        <f t="shared" si="2"/>
        <v>48.543689320388346</v>
      </c>
      <c r="Z13" s="45">
        <f t="shared" si="3"/>
        <v>0.62638709799763881</v>
      </c>
      <c r="AA13" s="45">
        <f t="shared" si="4"/>
        <v>0.49</v>
      </c>
      <c r="AB13" s="45">
        <f t="shared" si="5"/>
        <v>0.80064523727837322</v>
      </c>
      <c r="AC13" s="45">
        <f t="shared" si="6"/>
        <v>0.76963603089165278</v>
      </c>
      <c r="AD13" s="45">
        <f t="shared" si="7"/>
        <v>9718.1941620688995</v>
      </c>
      <c r="AE13" s="45" t="str">
        <f t="shared" si="8"/>
        <v>YES</v>
      </c>
      <c r="AF13" s="45">
        <v>1435.5</v>
      </c>
      <c r="AG13" s="45">
        <v>1579.0500000000002</v>
      </c>
      <c r="AH13" s="45">
        <v>1866.15</v>
      </c>
      <c r="AI13" s="45"/>
      <c r="AJ13" s="45"/>
      <c r="AK13" s="45"/>
      <c r="AL13" s="45"/>
    </row>
    <row r="14" spans="1:38" x14ac:dyDescent="0.35">
      <c r="A14" s="27" t="s">
        <v>62</v>
      </c>
      <c r="B14" s="28">
        <v>235.1</v>
      </c>
      <c r="C14" s="28">
        <v>381</v>
      </c>
      <c r="D14" s="28">
        <v>394.8</v>
      </c>
      <c r="E14" s="28">
        <v>18.399999999999999</v>
      </c>
      <c r="F14" s="28">
        <v>30.2</v>
      </c>
      <c r="G14" s="28">
        <v>15.2</v>
      </c>
      <c r="H14" s="28">
        <v>290.2</v>
      </c>
      <c r="I14" s="29">
        <v>79080</v>
      </c>
      <c r="J14" s="29">
        <v>30990</v>
      </c>
      <c r="K14" s="28">
        <v>16.3</v>
      </c>
      <c r="L14" s="30">
        <v>10.199999999999999</v>
      </c>
      <c r="M14" s="29">
        <v>4151</v>
      </c>
      <c r="N14" s="29">
        <v>1570</v>
      </c>
      <c r="O14" s="29">
        <v>4687</v>
      </c>
      <c r="P14" s="29">
        <v>2383</v>
      </c>
      <c r="Q14" s="31">
        <v>0.83399999999999996</v>
      </c>
      <c r="R14" s="30">
        <v>12.1</v>
      </c>
      <c r="S14" s="32">
        <v>9.5399999999999991</v>
      </c>
      <c r="T14" s="30">
        <v>812</v>
      </c>
      <c r="U14" s="33">
        <v>299</v>
      </c>
      <c r="V14" s="45">
        <v>345</v>
      </c>
      <c r="W14" s="45">
        <f t="shared" si="0"/>
        <v>0.82532382753065792</v>
      </c>
      <c r="X14" s="45">
        <f t="shared" si="1"/>
        <v>77.497907405128785</v>
      </c>
      <c r="Y14" s="45">
        <f t="shared" si="2"/>
        <v>49.019607843137258</v>
      </c>
      <c r="Z14" s="45">
        <f t="shared" si="3"/>
        <v>0.63252814797800794</v>
      </c>
      <c r="AA14" s="45">
        <f t="shared" si="4"/>
        <v>0.49</v>
      </c>
      <c r="AB14" s="45">
        <f t="shared" si="5"/>
        <v>0.80601532524685637</v>
      </c>
      <c r="AC14" s="45">
        <f t="shared" si="6"/>
        <v>0.76594076744295836</v>
      </c>
      <c r="AD14" s="45">
        <f t="shared" si="7"/>
        <v>7901.0619865578365</v>
      </c>
      <c r="AE14" s="45" t="str">
        <f t="shared" si="8"/>
        <v>YES</v>
      </c>
      <c r="AF14" s="45">
        <v>1175.5</v>
      </c>
      <c r="AG14" s="45">
        <v>1293.0500000000002</v>
      </c>
      <c r="AH14" s="45">
        <v>1528.15</v>
      </c>
      <c r="AI14" s="45"/>
      <c r="AJ14" s="45"/>
      <c r="AK14" s="45"/>
      <c r="AL14" s="45"/>
    </row>
    <row r="15" spans="1:38" x14ac:dyDescent="0.35">
      <c r="A15" s="27" t="s">
        <v>63</v>
      </c>
      <c r="B15" s="28">
        <v>201.9</v>
      </c>
      <c r="C15" s="28">
        <v>374.6</v>
      </c>
      <c r="D15" s="28">
        <v>374.7</v>
      </c>
      <c r="E15" s="28">
        <v>16.5</v>
      </c>
      <c r="F15" s="28">
        <v>27</v>
      </c>
      <c r="G15" s="28">
        <v>15.2</v>
      </c>
      <c r="H15" s="28">
        <v>290.2</v>
      </c>
      <c r="I15" s="29">
        <v>66260</v>
      </c>
      <c r="J15" s="29">
        <v>23690</v>
      </c>
      <c r="K15" s="28">
        <v>16.100000000000001</v>
      </c>
      <c r="L15" s="30">
        <v>9.6</v>
      </c>
      <c r="M15" s="29">
        <v>3538</v>
      </c>
      <c r="N15" s="29">
        <v>1264</v>
      </c>
      <c r="O15" s="29">
        <v>3972</v>
      </c>
      <c r="P15" s="29">
        <v>1920</v>
      </c>
      <c r="Q15" s="31">
        <v>0.84399999999999997</v>
      </c>
      <c r="R15" s="30">
        <v>13.4</v>
      </c>
      <c r="S15" s="32">
        <v>7.16</v>
      </c>
      <c r="T15" s="30">
        <v>558</v>
      </c>
      <c r="U15" s="33">
        <v>257</v>
      </c>
      <c r="V15" s="45">
        <v>345</v>
      </c>
      <c r="W15" s="45">
        <f t="shared" si="0"/>
        <v>0.82532382753065792</v>
      </c>
      <c r="X15" s="45">
        <f t="shared" si="1"/>
        <v>77.497907405128785</v>
      </c>
      <c r="Y15" s="45">
        <f t="shared" si="2"/>
        <v>52.083333333333336</v>
      </c>
      <c r="Z15" s="45">
        <f t="shared" si="3"/>
        <v>0.6720611572266334</v>
      </c>
      <c r="AA15" s="45">
        <f t="shared" si="4"/>
        <v>0.49</v>
      </c>
      <c r="AB15" s="45">
        <f t="shared" si="5"/>
        <v>0.84148808304692602</v>
      </c>
      <c r="AC15" s="45">
        <f t="shared" si="6"/>
        <v>0.74190405694642991</v>
      </c>
      <c r="AD15" s="45">
        <f t="shared" si="7"/>
        <v>6578.0923209155208</v>
      </c>
      <c r="AE15" s="45" t="str">
        <f t="shared" si="8"/>
        <v>YES</v>
      </c>
      <c r="AF15" s="45">
        <v>1009.5</v>
      </c>
      <c r="AG15" s="45">
        <v>1110.45</v>
      </c>
      <c r="AH15" s="45">
        <v>1312.3500000000001</v>
      </c>
      <c r="AI15" s="45"/>
      <c r="AJ15" s="45"/>
      <c r="AK15" s="45"/>
      <c r="AL15" s="45"/>
    </row>
    <row r="16" spans="1:38" x14ac:dyDescent="0.35">
      <c r="A16" s="27" t="s">
        <v>64</v>
      </c>
      <c r="B16" s="28">
        <v>177</v>
      </c>
      <c r="C16" s="28">
        <v>368.2</v>
      </c>
      <c r="D16" s="28">
        <v>372.6</v>
      </c>
      <c r="E16" s="28">
        <v>14.4</v>
      </c>
      <c r="F16" s="28">
        <v>23.8</v>
      </c>
      <c r="G16" s="28">
        <v>15.2</v>
      </c>
      <c r="H16" s="28">
        <v>290.2</v>
      </c>
      <c r="I16" s="29">
        <v>57120</v>
      </c>
      <c r="J16" s="29">
        <v>20530</v>
      </c>
      <c r="K16" s="28">
        <v>15.9</v>
      </c>
      <c r="L16" s="30">
        <v>9.5399999999999991</v>
      </c>
      <c r="M16" s="29">
        <v>3103</v>
      </c>
      <c r="N16" s="29">
        <v>1102</v>
      </c>
      <c r="O16" s="29">
        <v>3455</v>
      </c>
      <c r="P16" s="29">
        <v>1671</v>
      </c>
      <c r="Q16" s="31">
        <v>0.84399999999999997</v>
      </c>
      <c r="R16" s="30">
        <v>15</v>
      </c>
      <c r="S16" s="32">
        <v>6.09</v>
      </c>
      <c r="T16" s="30">
        <v>381</v>
      </c>
      <c r="U16" s="33">
        <v>226</v>
      </c>
      <c r="V16" s="45">
        <v>345</v>
      </c>
      <c r="W16" s="45">
        <f t="shared" si="0"/>
        <v>0.82532382753065792</v>
      </c>
      <c r="X16" s="45">
        <f t="shared" si="1"/>
        <v>77.497907405128785</v>
      </c>
      <c r="Y16" s="45">
        <f t="shared" si="2"/>
        <v>52.410901467505248</v>
      </c>
      <c r="Z16" s="45">
        <f t="shared" si="3"/>
        <v>0.67628795695761856</v>
      </c>
      <c r="AA16" s="45">
        <f t="shared" si="4"/>
        <v>0.49</v>
      </c>
      <c r="AB16" s="45">
        <f t="shared" si="5"/>
        <v>0.84537324981757145</v>
      </c>
      <c r="AC16" s="45">
        <f t="shared" si="6"/>
        <v>0.73931064564989712</v>
      </c>
      <c r="AD16" s="45">
        <f t="shared" si="7"/>
        <v>5764.4051041322482</v>
      </c>
      <c r="AE16" s="45" t="str">
        <f t="shared" si="8"/>
        <v>YES</v>
      </c>
      <c r="AF16" s="45">
        <v>885</v>
      </c>
      <c r="AG16" s="45">
        <v>973.50000000000011</v>
      </c>
      <c r="AH16" s="45">
        <v>1150.5</v>
      </c>
      <c r="AI16" s="45"/>
      <c r="AJ16" s="45"/>
      <c r="AK16" s="45"/>
      <c r="AL16" s="45"/>
    </row>
    <row r="17" spans="1:38" x14ac:dyDescent="0.35">
      <c r="A17" s="27" t="s">
        <v>65</v>
      </c>
      <c r="B17" s="28">
        <v>152.9</v>
      </c>
      <c r="C17" s="28">
        <v>362</v>
      </c>
      <c r="D17" s="28">
        <v>370.5</v>
      </c>
      <c r="E17" s="28">
        <v>12.3</v>
      </c>
      <c r="F17" s="28">
        <v>20.7</v>
      </c>
      <c r="G17" s="28">
        <v>15.2</v>
      </c>
      <c r="H17" s="28">
        <v>290.2</v>
      </c>
      <c r="I17" s="29">
        <v>48590</v>
      </c>
      <c r="J17" s="29">
        <v>17550</v>
      </c>
      <c r="K17" s="28">
        <v>15.8</v>
      </c>
      <c r="L17" s="30">
        <v>9.49</v>
      </c>
      <c r="M17" s="29">
        <v>2684</v>
      </c>
      <c r="N17" s="29">
        <v>948</v>
      </c>
      <c r="O17" s="29">
        <v>2965</v>
      </c>
      <c r="P17" s="29">
        <v>1435</v>
      </c>
      <c r="Q17" s="31">
        <v>0.84399999999999997</v>
      </c>
      <c r="R17" s="30">
        <v>17</v>
      </c>
      <c r="S17" s="32">
        <v>5.1100000000000003</v>
      </c>
      <c r="T17" s="30">
        <v>251</v>
      </c>
      <c r="U17" s="33">
        <v>195</v>
      </c>
      <c r="V17" s="45">
        <v>345</v>
      </c>
      <c r="W17" s="45">
        <f t="shared" si="0"/>
        <v>0.82532382753065792</v>
      </c>
      <c r="X17" s="45">
        <f t="shared" si="1"/>
        <v>77.497907405128785</v>
      </c>
      <c r="Y17" s="45">
        <f t="shared" si="2"/>
        <v>52.687038988408851</v>
      </c>
      <c r="Z17" s="45">
        <f t="shared" si="3"/>
        <v>0.67985111795318021</v>
      </c>
      <c r="AA17" s="45">
        <f t="shared" si="4"/>
        <v>0.49</v>
      </c>
      <c r="AB17" s="45">
        <f t="shared" si="5"/>
        <v>0.84866229518962355</v>
      </c>
      <c r="AC17" s="45">
        <f t="shared" si="6"/>
        <v>0.73712121573206935</v>
      </c>
      <c r="AD17" s="45">
        <f t="shared" si="7"/>
        <v>4958.9829788374964</v>
      </c>
      <c r="AE17" s="45" t="str">
        <f t="shared" si="8"/>
        <v>YES</v>
      </c>
      <c r="AF17" s="45">
        <v>764.5</v>
      </c>
      <c r="AG17" s="45">
        <v>840.95</v>
      </c>
      <c r="AH17" s="45">
        <v>993.85</v>
      </c>
      <c r="AI17" s="45"/>
      <c r="AJ17" s="45"/>
      <c r="AK17" s="45"/>
      <c r="AL17" s="45"/>
    </row>
    <row r="18" spans="1:38" x14ac:dyDescent="0.35">
      <c r="A18" s="27" t="s">
        <v>66</v>
      </c>
      <c r="B18" s="28">
        <v>129</v>
      </c>
      <c r="C18" s="28">
        <v>355.6</v>
      </c>
      <c r="D18" s="28">
        <v>368.6</v>
      </c>
      <c r="E18" s="28">
        <v>10.4</v>
      </c>
      <c r="F18" s="28">
        <v>17.5</v>
      </c>
      <c r="G18" s="28">
        <v>15.2</v>
      </c>
      <c r="H18" s="28">
        <v>290.2</v>
      </c>
      <c r="I18" s="29">
        <v>40250</v>
      </c>
      <c r="J18" s="29">
        <v>14610</v>
      </c>
      <c r="K18" s="28">
        <v>15.6</v>
      </c>
      <c r="L18" s="30">
        <v>9.43</v>
      </c>
      <c r="M18" s="29">
        <v>2264</v>
      </c>
      <c r="N18" s="29">
        <v>793</v>
      </c>
      <c r="O18" s="29">
        <v>2479</v>
      </c>
      <c r="P18" s="29">
        <v>1199</v>
      </c>
      <c r="Q18" s="31">
        <v>0.84399999999999997</v>
      </c>
      <c r="R18" s="30">
        <v>19.899999999999999</v>
      </c>
      <c r="S18" s="32">
        <v>4.18</v>
      </c>
      <c r="T18" s="30">
        <v>153</v>
      </c>
      <c r="U18" s="33">
        <v>164</v>
      </c>
      <c r="V18" s="45">
        <v>345</v>
      </c>
      <c r="W18" s="45">
        <f t="shared" si="0"/>
        <v>0.82532382753065792</v>
      </c>
      <c r="X18" s="45">
        <f t="shared" si="1"/>
        <v>77.497907405128785</v>
      </c>
      <c r="Y18" s="45">
        <f t="shared" si="2"/>
        <v>53.022269353128316</v>
      </c>
      <c r="Z18" s="45">
        <f t="shared" si="3"/>
        <v>0.68417678784471692</v>
      </c>
      <c r="AA18" s="45">
        <f t="shared" si="4"/>
        <v>0.49</v>
      </c>
      <c r="AB18" s="45">
        <f t="shared" si="5"/>
        <v>0.85267225153471304</v>
      </c>
      <c r="AC18" s="45">
        <f t="shared" si="6"/>
        <v>0.73445942254211782</v>
      </c>
      <c r="AD18" s="45">
        <f t="shared" si="7"/>
        <v>4155.571412743303</v>
      </c>
      <c r="AE18" s="45" t="str">
        <f t="shared" si="8"/>
        <v>YES</v>
      </c>
      <c r="AF18" s="45">
        <v>645</v>
      </c>
      <c r="AG18" s="45">
        <v>709.50000000000011</v>
      </c>
      <c r="AH18" s="45">
        <v>838.5</v>
      </c>
      <c r="AI18" s="45"/>
      <c r="AJ18" s="45"/>
      <c r="AK18" s="45"/>
      <c r="AL18" s="45"/>
    </row>
    <row r="19" spans="1:38" x14ac:dyDescent="0.35">
      <c r="A19" s="27" t="s">
        <v>67</v>
      </c>
      <c r="B19" s="28">
        <v>282.89999999999998</v>
      </c>
      <c r="C19" s="28">
        <v>365.3</v>
      </c>
      <c r="D19" s="28">
        <v>322.2</v>
      </c>
      <c r="E19" s="28">
        <v>26.8</v>
      </c>
      <c r="F19" s="28">
        <v>44.1</v>
      </c>
      <c r="G19" s="28">
        <v>15.2</v>
      </c>
      <c r="H19" s="28">
        <v>246.7</v>
      </c>
      <c r="I19" s="29">
        <v>78870</v>
      </c>
      <c r="J19" s="29">
        <v>24630</v>
      </c>
      <c r="K19" s="28">
        <v>14.8</v>
      </c>
      <c r="L19" s="30">
        <v>8.27</v>
      </c>
      <c r="M19" s="29">
        <v>4318</v>
      </c>
      <c r="N19" s="29">
        <v>1529</v>
      </c>
      <c r="O19" s="29">
        <v>5105</v>
      </c>
      <c r="P19" s="29">
        <v>2342</v>
      </c>
      <c r="Q19" s="31">
        <v>0.85499999999999998</v>
      </c>
      <c r="R19" s="30">
        <v>7.65</v>
      </c>
      <c r="S19" s="32">
        <v>6.35</v>
      </c>
      <c r="T19" s="30">
        <v>2034</v>
      </c>
      <c r="U19" s="33">
        <v>360</v>
      </c>
      <c r="V19" s="45">
        <v>335</v>
      </c>
      <c r="W19" s="45">
        <f t="shared" si="0"/>
        <v>0.83755151322974331</v>
      </c>
      <c r="X19" s="45">
        <f t="shared" si="1"/>
        <v>78.646087092272907</v>
      </c>
      <c r="Y19" s="45">
        <f t="shared" si="2"/>
        <v>60.459492140266022</v>
      </c>
      <c r="Z19" s="45">
        <f t="shared" si="3"/>
        <v>0.7687539758886015</v>
      </c>
      <c r="AA19" s="45">
        <f t="shared" si="4"/>
        <v>0.49</v>
      </c>
      <c r="AB19" s="45">
        <f t="shared" si="5"/>
        <v>0.93483606181497358</v>
      </c>
      <c r="AC19" s="45">
        <f t="shared" si="6"/>
        <v>0.68177798089297004</v>
      </c>
      <c r="AD19" s="45">
        <f t="shared" si="7"/>
        <v>8222.2424495692194</v>
      </c>
      <c r="AE19" s="45" t="str">
        <f t="shared" si="8"/>
        <v>YES</v>
      </c>
      <c r="AF19" s="45">
        <v>1414.5</v>
      </c>
      <c r="AG19" s="45">
        <v>1555.95</v>
      </c>
      <c r="AH19" s="45">
        <v>1838.8500000000001</v>
      </c>
      <c r="AI19" s="45"/>
      <c r="AJ19" s="45"/>
      <c r="AK19" s="45"/>
      <c r="AL19" s="45"/>
    </row>
    <row r="20" spans="1:38" x14ac:dyDescent="0.35">
      <c r="A20" s="27" t="s">
        <v>68</v>
      </c>
      <c r="B20" s="28">
        <v>240</v>
      </c>
      <c r="C20" s="28">
        <v>352.5</v>
      </c>
      <c r="D20" s="28">
        <v>318.39999999999998</v>
      </c>
      <c r="E20" s="28">
        <v>23</v>
      </c>
      <c r="F20" s="28">
        <v>37.700000000000003</v>
      </c>
      <c r="G20" s="28">
        <v>15.2</v>
      </c>
      <c r="H20" s="28">
        <v>246.7</v>
      </c>
      <c r="I20" s="29">
        <v>64200</v>
      </c>
      <c r="J20" s="29">
        <v>20310</v>
      </c>
      <c r="K20" s="28">
        <v>14.5</v>
      </c>
      <c r="L20" s="30">
        <v>8.15</v>
      </c>
      <c r="M20" s="29">
        <v>3643</v>
      </c>
      <c r="N20" s="29">
        <v>1276</v>
      </c>
      <c r="O20" s="29">
        <v>4247</v>
      </c>
      <c r="P20" s="29">
        <v>1951</v>
      </c>
      <c r="Q20" s="31">
        <v>0.85399999999999998</v>
      </c>
      <c r="R20" s="30">
        <v>8.74</v>
      </c>
      <c r="S20" s="32">
        <v>5.03</v>
      </c>
      <c r="T20" s="30">
        <v>1271</v>
      </c>
      <c r="U20" s="33">
        <v>306</v>
      </c>
      <c r="V20" s="45">
        <v>345</v>
      </c>
      <c r="W20" s="45">
        <f t="shared" si="0"/>
        <v>0.82532382753065792</v>
      </c>
      <c r="X20" s="45">
        <f t="shared" si="1"/>
        <v>77.497907405128785</v>
      </c>
      <c r="Y20" s="45">
        <f t="shared" si="2"/>
        <v>61.349693251533736</v>
      </c>
      <c r="Z20" s="45">
        <f t="shared" si="3"/>
        <v>0.79163032016879509</v>
      </c>
      <c r="AA20" s="45">
        <f t="shared" si="4"/>
        <v>0.49</v>
      </c>
      <c r="AB20" s="45">
        <f t="shared" si="5"/>
        <v>0.95828871034662932</v>
      </c>
      <c r="AC20" s="45">
        <f t="shared" si="6"/>
        <v>0.66741215184399449</v>
      </c>
      <c r="AD20" s="45">
        <f t="shared" si="7"/>
        <v>7045.8700870170487</v>
      </c>
      <c r="AE20" s="45" t="str">
        <f t="shared" si="8"/>
        <v>YES</v>
      </c>
      <c r="AF20" s="45">
        <v>1200</v>
      </c>
      <c r="AG20" s="45">
        <v>1320</v>
      </c>
      <c r="AH20" s="45">
        <v>1560</v>
      </c>
      <c r="AI20" s="45"/>
      <c r="AJ20" s="45"/>
      <c r="AK20" s="45"/>
      <c r="AL20" s="45"/>
    </row>
    <row r="21" spans="1:38" x14ac:dyDescent="0.35">
      <c r="A21" s="27" t="s">
        <v>69</v>
      </c>
      <c r="B21" s="28">
        <v>198.1</v>
      </c>
      <c r="C21" s="28">
        <v>339.9</v>
      </c>
      <c r="D21" s="28">
        <v>314.5</v>
      </c>
      <c r="E21" s="28">
        <v>19.100000000000001</v>
      </c>
      <c r="F21" s="28">
        <v>31.4</v>
      </c>
      <c r="G21" s="28">
        <v>15.2</v>
      </c>
      <c r="H21" s="28">
        <v>246.7</v>
      </c>
      <c r="I21" s="29">
        <v>50900</v>
      </c>
      <c r="J21" s="29">
        <v>16300</v>
      </c>
      <c r="K21" s="28">
        <v>14.2</v>
      </c>
      <c r="L21" s="30">
        <v>8.0399999999999991</v>
      </c>
      <c r="M21" s="29">
        <v>2995</v>
      </c>
      <c r="N21" s="29">
        <v>1037</v>
      </c>
      <c r="O21" s="29">
        <v>3440</v>
      </c>
      <c r="P21" s="29">
        <v>1581</v>
      </c>
      <c r="Q21" s="31">
        <v>0.85399999999999998</v>
      </c>
      <c r="R21" s="30">
        <v>10.199999999999999</v>
      </c>
      <c r="S21" s="32">
        <v>3.88</v>
      </c>
      <c r="T21" s="30">
        <v>734</v>
      </c>
      <c r="U21" s="33">
        <v>252</v>
      </c>
      <c r="V21" s="45">
        <v>345</v>
      </c>
      <c r="W21" s="45">
        <f t="shared" si="0"/>
        <v>0.82532382753065792</v>
      </c>
      <c r="X21" s="45">
        <f t="shared" si="1"/>
        <v>77.497907405128785</v>
      </c>
      <c r="Y21" s="45">
        <f t="shared" si="2"/>
        <v>62.189054726368163</v>
      </c>
      <c r="Z21" s="45">
        <f t="shared" si="3"/>
        <v>0.80246108325568166</v>
      </c>
      <c r="AA21" s="45">
        <f t="shared" si="4"/>
        <v>0.49</v>
      </c>
      <c r="AB21" s="45">
        <f t="shared" si="5"/>
        <v>0.9695748604675829</v>
      </c>
      <c r="AC21" s="45">
        <f t="shared" si="6"/>
        <v>0.66060904534182419</v>
      </c>
      <c r="AD21" s="45">
        <f t="shared" si="7"/>
        <v>5743.3350402018204</v>
      </c>
      <c r="AE21" s="45" t="str">
        <f t="shared" si="8"/>
        <v>YES</v>
      </c>
      <c r="AF21" s="45">
        <v>990.5</v>
      </c>
      <c r="AG21" s="45">
        <v>1089.5500000000002</v>
      </c>
      <c r="AH21" s="45">
        <v>1287.6500000000001</v>
      </c>
      <c r="AI21" s="45"/>
      <c r="AJ21" s="45"/>
      <c r="AK21" s="45"/>
      <c r="AL21" s="45"/>
    </row>
    <row r="22" spans="1:38" x14ac:dyDescent="0.35">
      <c r="A22" s="27" t="s">
        <v>70</v>
      </c>
      <c r="B22" s="28">
        <v>158.1</v>
      </c>
      <c r="C22" s="28">
        <v>327.10000000000002</v>
      </c>
      <c r="D22" s="28">
        <v>311.2</v>
      </c>
      <c r="E22" s="28">
        <v>15.8</v>
      </c>
      <c r="F22" s="28">
        <v>25</v>
      </c>
      <c r="G22" s="28">
        <v>15.2</v>
      </c>
      <c r="H22" s="28">
        <v>246.7</v>
      </c>
      <c r="I22" s="29">
        <v>38750</v>
      </c>
      <c r="J22" s="29">
        <v>12570</v>
      </c>
      <c r="K22" s="28">
        <v>13.9</v>
      </c>
      <c r="L22" s="30">
        <v>7.9</v>
      </c>
      <c r="M22" s="29">
        <v>2369</v>
      </c>
      <c r="N22" s="29">
        <v>808</v>
      </c>
      <c r="O22" s="29">
        <v>2680</v>
      </c>
      <c r="P22" s="29">
        <v>1230</v>
      </c>
      <c r="Q22" s="31">
        <v>0.85099999999999998</v>
      </c>
      <c r="R22" s="30">
        <v>12.5</v>
      </c>
      <c r="S22" s="32">
        <v>2.87</v>
      </c>
      <c r="T22" s="30">
        <v>378</v>
      </c>
      <c r="U22" s="33">
        <v>201</v>
      </c>
      <c r="V22" s="45">
        <v>345</v>
      </c>
      <c r="W22" s="45">
        <f t="shared" si="0"/>
        <v>0.82532382753065792</v>
      </c>
      <c r="X22" s="45">
        <f t="shared" si="1"/>
        <v>77.497907405128785</v>
      </c>
      <c r="Y22" s="45">
        <f t="shared" si="2"/>
        <v>63.291139240506325</v>
      </c>
      <c r="Z22" s="45">
        <f t="shared" si="3"/>
        <v>0.81668191257919998</v>
      </c>
      <c r="AA22" s="45">
        <f t="shared" si="4"/>
        <v>0.49</v>
      </c>
      <c r="AB22" s="45">
        <f t="shared" si="5"/>
        <v>0.98457174174891404</v>
      </c>
      <c r="AC22" s="45">
        <f t="shared" si="6"/>
        <v>0.65168151567951427</v>
      </c>
      <c r="AD22" s="45">
        <f t="shared" si="7"/>
        <v>4519.085470479592</v>
      </c>
      <c r="AE22" s="45" t="str">
        <f t="shared" si="8"/>
        <v>YES</v>
      </c>
      <c r="AF22" s="45">
        <v>790.5</v>
      </c>
      <c r="AG22" s="45">
        <v>869.55000000000007</v>
      </c>
      <c r="AH22" s="45">
        <v>1027.6500000000001</v>
      </c>
      <c r="AI22" s="45"/>
      <c r="AJ22" s="45"/>
      <c r="AK22" s="45"/>
      <c r="AL22" s="45"/>
    </row>
    <row r="23" spans="1:38" x14ac:dyDescent="0.35">
      <c r="A23" s="27" t="s">
        <v>71</v>
      </c>
      <c r="B23" s="28">
        <v>136.9</v>
      </c>
      <c r="C23" s="28">
        <v>320.5</v>
      </c>
      <c r="D23" s="28">
        <v>309.2</v>
      </c>
      <c r="E23" s="28">
        <v>13.8</v>
      </c>
      <c r="F23" s="28">
        <v>21.7</v>
      </c>
      <c r="G23" s="28">
        <v>15.2</v>
      </c>
      <c r="H23" s="28">
        <v>246.7</v>
      </c>
      <c r="I23" s="29">
        <v>32810</v>
      </c>
      <c r="J23" s="29">
        <v>10700</v>
      </c>
      <c r="K23" s="28">
        <v>13.7</v>
      </c>
      <c r="L23" s="30">
        <v>7.83</v>
      </c>
      <c r="M23" s="29">
        <v>2048</v>
      </c>
      <c r="N23" s="29">
        <v>692</v>
      </c>
      <c r="O23" s="29">
        <v>2297</v>
      </c>
      <c r="P23" s="29">
        <v>1053</v>
      </c>
      <c r="Q23" s="31">
        <v>0.85099999999999998</v>
      </c>
      <c r="R23" s="30">
        <v>14.2</v>
      </c>
      <c r="S23" s="32">
        <v>2.39</v>
      </c>
      <c r="T23" s="30">
        <v>249</v>
      </c>
      <c r="U23" s="33">
        <v>174</v>
      </c>
      <c r="V23" s="45">
        <v>345</v>
      </c>
      <c r="W23" s="45">
        <f t="shared" si="0"/>
        <v>0.82532382753065792</v>
      </c>
      <c r="X23" s="45">
        <f t="shared" si="1"/>
        <v>77.497907405128785</v>
      </c>
      <c r="Y23" s="45">
        <f t="shared" si="2"/>
        <v>63.856960408684543</v>
      </c>
      <c r="Z23" s="45">
        <f t="shared" si="3"/>
        <v>0.82398302801732826</v>
      </c>
      <c r="AA23" s="45">
        <f t="shared" si="4"/>
        <v>0.49</v>
      </c>
      <c r="AB23" s="45">
        <f t="shared" si="5"/>
        <v>0.99234985709454793</v>
      </c>
      <c r="AC23" s="45">
        <f t="shared" si="6"/>
        <v>0.64710220044109001</v>
      </c>
      <c r="AD23" s="45">
        <f t="shared" si="7"/>
        <v>3884.5545092478633</v>
      </c>
      <c r="AE23" s="45" t="str">
        <f t="shared" si="8"/>
        <v>YES</v>
      </c>
      <c r="AF23" s="45">
        <v>684.5</v>
      </c>
      <c r="AG23" s="45">
        <v>752.95</v>
      </c>
      <c r="AH23" s="45">
        <v>889.85</v>
      </c>
      <c r="AI23" s="45"/>
      <c r="AJ23" s="45"/>
      <c r="AK23" s="45"/>
      <c r="AL23" s="45"/>
    </row>
    <row r="24" spans="1:38" x14ac:dyDescent="0.35">
      <c r="A24" s="27" t="s">
        <v>72</v>
      </c>
      <c r="B24" s="28">
        <v>117.9</v>
      </c>
      <c r="C24" s="28">
        <v>314.5</v>
      </c>
      <c r="D24" s="28">
        <v>307.39999999999998</v>
      </c>
      <c r="E24" s="28">
        <v>12</v>
      </c>
      <c r="F24" s="28">
        <v>18.7</v>
      </c>
      <c r="G24" s="28">
        <v>15.2</v>
      </c>
      <c r="H24" s="28">
        <v>246.7</v>
      </c>
      <c r="I24" s="29">
        <v>27670</v>
      </c>
      <c r="J24" s="29">
        <v>9059</v>
      </c>
      <c r="K24" s="28">
        <v>13.6</v>
      </c>
      <c r="L24" s="30">
        <v>7.77</v>
      </c>
      <c r="M24" s="29">
        <v>1760</v>
      </c>
      <c r="N24" s="29">
        <v>589</v>
      </c>
      <c r="O24" s="29">
        <v>1958</v>
      </c>
      <c r="P24" s="29">
        <v>895</v>
      </c>
      <c r="Q24" s="31">
        <v>0.85</v>
      </c>
      <c r="R24" s="30">
        <v>16.2</v>
      </c>
      <c r="S24" s="32">
        <v>1.98</v>
      </c>
      <c r="T24" s="30">
        <v>161</v>
      </c>
      <c r="U24" s="33">
        <v>150</v>
      </c>
      <c r="V24" s="45">
        <v>345</v>
      </c>
      <c r="W24" s="45">
        <f t="shared" si="0"/>
        <v>0.82532382753065792</v>
      </c>
      <c r="X24" s="45">
        <f t="shared" si="1"/>
        <v>77.497907405128785</v>
      </c>
      <c r="Y24" s="45">
        <f t="shared" si="2"/>
        <v>64.350064350064358</v>
      </c>
      <c r="Z24" s="45">
        <f t="shared" si="3"/>
        <v>0.83034583132248152</v>
      </c>
      <c r="AA24" s="45">
        <f t="shared" si="4"/>
        <v>0.49</v>
      </c>
      <c r="AB24" s="45">
        <f t="shared" si="5"/>
        <v>0.99917182847131947</v>
      </c>
      <c r="AC24" s="45">
        <f t="shared" si="6"/>
        <v>0.64311465171272475</v>
      </c>
      <c r="AD24" s="45">
        <f t="shared" si="7"/>
        <v>3328.1183226133508</v>
      </c>
      <c r="AE24" s="45" t="str">
        <f t="shared" si="8"/>
        <v>YES</v>
      </c>
      <c r="AF24" s="45"/>
      <c r="AG24" s="45"/>
      <c r="AH24" s="45">
        <v>766.35</v>
      </c>
      <c r="AI24" s="45"/>
      <c r="AJ24" s="45"/>
      <c r="AK24" s="45"/>
      <c r="AL24" s="45"/>
    </row>
    <row r="25" spans="1:38" x14ac:dyDescent="0.35">
      <c r="A25" s="27" t="s">
        <v>73</v>
      </c>
      <c r="B25" s="28">
        <v>96.9</v>
      </c>
      <c r="C25" s="28">
        <v>307.89999999999998</v>
      </c>
      <c r="D25" s="28">
        <v>305.3</v>
      </c>
      <c r="E25" s="28">
        <v>9.9</v>
      </c>
      <c r="F25" s="28">
        <v>15.4</v>
      </c>
      <c r="G25" s="28">
        <v>15.2</v>
      </c>
      <c r="H25" s="28">
        <v>246.7</v>
      </c>
      <c r="I25" s="29">
        <v>22250</v>
      </c>
      <c r="J25" s="29">
        <v>7308</v>
      </c>
      <c r="K25" s="28">
        <v>13.4</v>
      </c>
      <c r="L25" s="30">
        <v>7.69</v>
      </c>
      <c r="M25" s="29">
        <v>1445</v>
      </c>
      <c r="N25" s="29">
        <v>479</v>
      </c>
      <c r="O25" s="29">
        <v>1592</v>
      </c>
      <c r="P25" s="29">
        <v>726</v>
      </c>
      <c r="Q25" s="31">
        <v>0.85</v>
      </c>
      <c r="R25" s="30">
        <v>19.3</v>
      </c>
      <c r="S25" s="32">
        <v>1.56</v>
      </c>
      <c r="T25" s="30">
        <v>91.2</v>
      </c>
      <c r="U25" s="33">
        <v>123</v>
      </c>
      <c r="V25" s="45">
        <v>355</v>
      </c>
      <c r="W25" s="45">
        <f t="shared" si="0"/>
        <v>0.81361651346682706</v>
      </c>
      <c r="X25" s="45">
        <f t="shared" si="1"/>
        <v>76.398590614535067</v>
      </c>
      <c r="Y25" s="45">
        <f t="shared" si="2"/>
        <v>65.019505851755525</v>
      </c>
      <c r="Z25" s="45">
        <f t="shared" si="3"/>
        <v>0.85105635233256993</v>
      </c>
      <c r="AA25" s="45">
        <f t="shared" si="4"/>
        <v>0.49</v>
      </c>
      <c r="AB25" s="45">
        <f t="shared" si="5"/>
        <v>1.0216572637442893</v>
      </c>
      <c r="AC25" s="45">
        <f t="shared" si="6"/>
        <v>0.63016389190011435</v>
      </c>
      <c r="AD25" s="45">
        <f t="shared" si="7"/>
        <v>2751.6106339818493</v>
      </c>
      <c r="AE25" s="45" t="str">
        <f t="shared" si="8"/>
        <v>NO</v>
      </c>
      <c r="AF25" s="45"/>
      <c r="AG25" s="45"/>
      <c r="AH25" s="45"/>
      <c r="AI25" s="45"/>
      <c r="AJ25" s="45"/>
      <c r="AK25" s="45"/>
      <c r="AL25" s="45"/>
    </row>
    <row r="26" spans="1:38" x14ac:dyDescent="0.35">
      <c r="A26" s="27" t="s">
        <v>74</v>
      </c>
      <c r="B26" s="28">
        <v>167.1</v>
      </c>
      <c r="C26" s="28">
        <v>289.10000000000002</v>
      </c>
      <c r="D26" s="28">
        <v>265.2</v>
      </c>
      <c r="E26" s="28">
        <v>19.2</v>
      </c>
      <c r="F26" s="28">
        <v>31.7</v>
      </c>
      <c r="G26" s="28">
        <v>12.7</v>
      </c>
      <c r="H26" s="28">
        <v>200.3</v>
      </c>
      <c r="I26" s="29">
        <v>30000</v>
      </c>
      <c r="J26" s="29">
        <v>9870</v>
      </c>
      <c r="K26" s="28">
        <v>11.9</v>
      </c>
      <c r="L26" s="30">
        <v>6.81</v>
      </c>
      <c r="M26" s="29">
        <v>2075</v>
      </c>
      <c r="N26" s="29">
        <v>744</v>
      </c>
      <c r="O26" s="29">
        <v>2424</v>
      </c>
      <c r="P26" s="29">
        <v>1137</v>
      </c>
      <c r="Q26" s="31">
        <v>0.85099999999999998</v>
      </c>
      <c r="R26" s="30">
        <v>8.49</v>
      </c>
      <c r="S26" s="32">
        <v>1.63</v>
      </c>
      <c r="T26" s="30">
        <v>626</v>
      </c>
      <c r="U26" s="33">
        <v>213</v>
      </c>
      <c r="V26" s="45">
        <v>345</v>
      </c>
      <c r="W26" s="45">
        <f t="shared" si="0"/>
        <v>0.82532382753065792</v>
      </c>
      <c r="X26" s="45">
        <f t="shared" si="1"/>
        <v>77.497907405128785</v>
      </c>
      <c r="Y26" s="45">
        <f t="shared" si="2"/>
        <v>73.421439060205586</v>
      </c>
      <c r="Z26" s="45">
        <f t="shared" si="3"/>
        <v>0.94739898816089296</v>
      </c>
      <c r="AA26" s="45">
        <f t="shared" si="4"/>
        <v>0.49</v>
      </c>
      <c r="AB26" s="45">
        <f t="shared" si="5"/>
        <v>1.1318951734835607</v>
      </c>
      <c r="AC26" s="45">
        <f t="shared" si="6"/>
        <v>0.57101505603681957</v>
      </c>
      <c r="AD26" s="45">
        <f t="shared" si="7"/>
        <v>4196.1041392865682</v>
      </c>
      <c r="AE26" s="45" t="str">
        <f t="shared" si="8"/>
        <v>YES</v>
      </c>
      <c r="AF26" s="45">
        <v>835.5</v>
      </c>
      <c r="AG26" s="45">
        <v>919.05000000000007</v>
      </c>
      <c r="AH26" s="45">
        <v>1086.1500000000001</v>
      </c>
      <c r="AI26" s="45"/>
      <c r="AJ26" s="45"/>
      <c r="AK26" s="45"/>
      <c r="AL26" s="45"/>
    </row>
    <row r="27" spans="1:38" x14ac:dyDescent="0.35">
      <c r="A27" s="27" t="s">
        <v>75</v>
      </c>
      <c r="B27" s="28">
        <v>132</v>
      </c>
      <c r="C27" s="28">
        <v>276.3</v>
      </c>
      <c r="D27" s="28">
        <v>261.3</v>
      </c>
      <c r="E27" s="28">
        <v>15.3</v>
      </c>
      <c r="F27" s="28">
        <v>25.3</v>
      </c>
      <c r="G27" s="28">
        <v>12.7</v>
      </c>
      <c r="H27" s="28">
        <v>200.3</v>
      </c>
      <c r="I27" s="29">
        <v>22530</v>
      </c>
      <c r="J27" s="29">
        <v>7531</v>
      </c>
      <c r="K27" s="28">
        <v>11.6</v>
      </c>
      <c r="L27" s="30">
        <v>6.69</v>
      </c>
      <c r="M27" s="29">
        <v>1631</v>
      </c>
      <c r="N27" s="29">
        <v>576</v>
      </c>
      <c r="O27" s="29">
        <v>1869</v>
      </c>
      <c r="P27" s="29">
        <v>878</v>
      </c>
      <c r="Q27" s="31">
        <v>0.85</v>
      </c>
      <c r="R27" s="30">
        <v>10.3</v>
      </c>
      <c r="S27" s="32">
        <v>1.19</v>
      </c>
      <c r="T27" s="30">
        <v>319</v>
      </c>
      <c r="U27" s="33">
        <v>168</v>
      </c>
      <c r="V27" s="45">
        <v>345</v>
      </c>
      <c r="W27" s="45">
        <f t="shared" si="0"/>
        <v>0.82532382753065792</v>
      </c>
      <c r="X27" s="45">
        <f t="shared" si="1"/>
        <v>77.497907405128785</v>
      </c>
      <c r="Y27" s="45">
        <f t="shared" si="2"/>
        <v>74.738415545590428</v>
      </c>
      <c r="Z27" s="45">
        <f t="shared" si="3"/>
        <v>0.96439269198440658</v>
      </c>
      <c r="AA27" s="45">
        <f t="shared" si="4"/>
        <v>0.49</v>
      </c>
      <c r="AB27" s="45">
        <f t="shared" si="5"/>
        <v>1.1523028417126449</v>
      </c>
      <c r="AC27" s="45">
        <f t="shared" si="6"/>
        <v>0.56086005967178976</v>
      </c>
      <c r="AD27" s="45">
        <f t="shared" si="7"/>
        <v>3250.7449058576935</v>
      </c>
      <c r="AE27" s="45" t="str">
        <f t="shared" si="8"/>
        <v>YES</v>
      </c>
      <c r="AF27" s="45"/>
      <c r="AG27" s="45"/>
      <c r="AH27" s="45">
        <v>858</v>
      </c>
      <c r="AI27" s="45"/>
      <c r="AJ27" s="45"/>
      <c r="AK27" s="45"/>
      <c r="AL27" s="45"/>
    </row>
    <row r="28" spans="1:38" x14ac:dyDescent="0.35">
      <c r="A28" s="27" t="s">
        <v>76</v>
      </c>
      <c r="B28" s="28">
        <v>107.1</v>
      </c>
      <c r="C28" s="28">
        <v>266.7</v>
      </c>
      <c r="D28" s="28">
        <v>258.8</v>
      </c>
      <c r="E28" s="28">
        <v>12.8</v>
      </c>
      <c r="F28" s="28">
        <v>20.5</v>
      </c>
      <c r="G28" s="28">
        <v>12.7</v>
      </c>
      <c r="H28" s="28">
        <v>200.3</v>
      </c>
      <c r="I28" s="29">
        <v>17510</v>
      </c>
      <c r="J28" s="29">
        <v>5928</v>
      </c>
      <c r="K28" s="28">
        <v>11.3</v>
      </c>
      <c r="L28" s="30">
        <v>6.59</v>
      </c>
      <c r="M28" s="29">
        <v>1313</v>
      </c>
      <c r="N28" s="29">
        <v>458</v>
      </c>
      <c r="O28" s="29">
        <v>1484</v>
      </c>
      <c r="P28" s="29">
        <v>697</v>
      </c>
      <c r="Q28" s="31">
        <v>0.84799999999999998</v>
      </c>
      <c r="R28" s="30">
        <v>12.4</v>
      </c>
      <c r="S28" s="32">
        <v>0.89800000000000002</v>
      </c>
      <c r="T28" s="30">
        <v>172</v>
      </c>
      <c r="U28" s="33">
        <v>136</v>
      </c>
      <c r="V28" s="45">
        <v>345</v>
      </c>
      <c r="W28" s="45">
        <f t="shared" si="0"/>
        <v>0.82532382753065792</v>
      </c>
      <c r="X28" s="45">
        <f t="shared" si="1"/>
        <v>77.497907405128785</v>
      </c>
      <c r="Y28" s="45">
        <f t="shared" si="2"/>
        <v>75.872534142640362</v>
      </c>
      <c r="Z28" s="45">
        <f t="shared" si="3"/>
        <v>0.97902687547430656</v>
      </c>
      <c r="AA28" s="45">
        <f t="shared" si="4"/>
        <v>0.49</v>
      </c>
      <c r="AB28" s="45">
        <f t="shared" si="5"/>
        <v>1.1701083959416969</v>
      </c>
      <c r="AC28" s="45">
        <f t="shared" si="6"/>
        <v>0.5522006258513954</v>
      </c>
      <c r="AD28" s="45">
        <f t="shared" si="7"/>
        <v>2590.9253364947472</v>
      </c>
      <c r="AE28" s="45" t="str">
        <f t="shared" si="8"/>
        <v>NO</v>
      </c>
      <c r="AF28" s="45"/>
      <c r="AG28" s="45"/>
      <c r="AH28" s="45"/>
      <c r="AI28" s="45"/>
      <c r="AJ28" s="45"/>
      <c r="AK28" s="45"/>
      <c r="AL28" s="45"/>
    </row>
    <row r="29" spans="1:38" x14ac:dyDescent="0.35">
      <c r="A29" s="27" t="s">
        <v>77</v>
      </c>
      <c r="B29" s="28">
        <v>88.9</v>
      </c>
      <c r="C29" s="28">
        <v>260.3</v>
      </c>
      <c r="D29" s="28">
        <v>256.3</v>
      </c>
      <c r="E29" s="28">
        <v>10.3</v>
      </c>
      <c r="F29" s="28">
        <v>17.3</v>
      </c>
      <c r="G29" s="28">
        <v>12.7</v>
      </c>
      <c r="H29" s="28">
        <v>200.3</v>
      </c>
      <c r="I29" s="29">
        <v>14270</v>
      </c>
      <c r="J29" s="29">
        <v>4857</v>
      </c>
      <c r="K29" s="28">
        <v>11.2</v>
      </c>
      <c r="L29" s="30">
        <v>6.55</v>
      </c>
      <c r="M29" s="29">
        <v>1096</v>
      </c>
      <c r="N29" s="29">
        <v>379</v>
      </c>
      <c r="O29" s="29">
        <v>1224</v>
      </c>
      <c r="P29" s="29">
        <v>575</v>
      </c>
      <c r="Q29" s="31">
        <v>0.85</v>
      </c>
      <c r="R29" s="30">
        <v>14.5</v>
      </c>
      <c r="S29" s="32">
        <v>0.71699999999999997</v>
      </c>
      <c r="T29" s="30">
        <v>102</v>
      </c>
      <c r="U29" s="33">
        <v>113</v>
      </c>
      <c r="V29" s="45">
        <v>345</v>
      </c>
      <c r="W29" s="45">
        <f t="shared" si="0"/>
        <v>0.82532382753065792</v>
      </c>
      <c r="X29" s="45">
        <f t="shared" si="1"/>
        <v>77.497907405128785</v>
      </c>
      <c r="Y29" s="45">
        <f t="shared" si="2"/>
        <v>76.335877862595424</v>
      </c>
      <c r="Z29" s="45">
        <f t="shared" si="3"/>
        <v>0.98500566555353908</v>
      </c>
      <c r="AA29" s="45">
        <f t="shared" si="4"/>
        <v>0.49</v>
      </c>
      <c r="AB29" s="45">
        <f t="shared" si="5"/>
        <v>1.1774444686469023</v>
      </c>
      <c r="AC29" s="45">
        <f t="shared" si="6"/>
        <v>0.54868688605227989</v>
      </c>
      <c r="AD29" s="45">
        <f t="shared" si="7"/>
        <v>2139.0558252748128</v>
      </c>
      <c r="AE29" s="45" t="str">
        <f t="shared" si="8"/>
        <v>NO</v>
      </c>
      <c r="AF29" s="45"/>
      <c r="AG29" s="45"/>
      <c r="AH29" s="45"/>
      <c r="AI29" s="45"/>
      <c r="AJ29" s="45"/>
      <c r="AK29" s="45"/>
      <c r="AL29" s="45"/>
    </row>
    <row r="30" spans="1:38" x14ac:dyDescent="0.35">
      <c r="A30" s="27" t="s">
        <v>78</v>
      </c>
      <c r="B30" s="28">
        <v>73.099999999999994</v>
      </c>
      <c r="C30" s="28">
        <v>254.1</v>
      </c>
      <c r="D30" s="28">
        <v>254.6</v>
      </c>
      <c r="E30" s="28">
        <v>8.6</v>
      </c>
      <c r="F30" s="28">
        <v>14.2</v>
      </c>
      <c r="G30" s="28">
        <v>12.7</v>
      </c>
      <c r="H30" s="28">
        <v>200.3</v>
      </c>
      <c r="I30" s="29">
        <v>11410</v>
      </c>
      <c r="J30" s="29">
        <v>3908</v>
      </c>
      <c r="K30" s="28">
        <v>11.1</v>
      </c>
      <c r="L30" s="30">
        <v>6.48</v>
      </c>
      <c r="M30" s="29">
        <v>898</v>
      </c>
      <c r="N30" s="29">
        <v>307</v>
      </c>
      <c r="O30" s="29">
        <v>992</v>
      </c>
      <c r="P30" s="29">
        <v>465</v>
      </c>
      <c r="Q30" s="31">
        <v>0.84899999999999998</v>
      </c>
      <c r="R30" s="30">
        <v>17.3</v>
      </c>
      <c r="S30" s="32">
        <v>0.56200000000000006</v>
      </c>
      <c r="T30" s="30">
        <v>57.6</v>
      </c>
      <c r="U30" s="33">
        <v>93.1</v>
      </c>
      <c r="V30" s="45">
        <v>355</v>
      </c>
      <c r="W30" s="45">
        <f t="shared" si="0"/>
        <v>0.81361651346682706</v>
      </c>
      <c r="X30" s="45">
        <f t="shared" si="1"/>
        <v>76.398590614535067</v>
      </c>
      <c r="Y30" s="45">
        <f t="shared" si="2"/>
        <v>77.160493827160494</v>
      </c>
      <c r="Z30" s="45">
        <f t="shared" si="3"/>
        <v>1.0099727391107196</v>
      </c>
      <c r="AA30" s="45">
        <f t="shared" si="4"/>
        <v>0.49</v>
      </c>
      <c r="AB30" s="45">
        <f t="shared" si="5"/>
        <v>1.2084657879555312</v>
      </c>
      <c r="AC30" s="45">
        <f t="shared" si="6"/>
        <v>0.53417363333214718</v>
      </c>
      <c r="AD30" s="45">
        <f t="shared" si="7"/>
        <v>1765.470566844413</v>
      </c>
      <c r="AE30" s="45" t="str">
        <f t="shared" si="8"/>
        <v>NO</v>
      </c>
      <c r="AF30" s="45"/>
      <c r="AG30" s="45"/>
      <c r="AH30" s="45"/>
      <c r="AI30" s="45"/>
      <c r="AJ30" s="45"/>
      <c r="AK30" s="45"/>
      <c r="AL30" s="45"/>
    </row>
    <row r="31" spans="1:38" x14ac:dyDescent="0.35">
      <c r="A31" s="27" t="s">
        <v>79</v>
      </c>
      <c r="B31" s="28">
        <v>86.1</v>
      </c>
      <c r="C31" s="28">
        <v>222.2</v>
      </c>
      <c r="D31" s="28">
        <v>209.1</v>
      </c>
      <c r="E31" s="28">
        <v>12.7</v>
      </c>
      <c r="F31" s="28">
        <v>20.5</v>
      </c>
      <c r="G31" s="28">
        <v>10.199999999999999</v>
      </c>
      <c r="H31" s="28">
        <v>160.80000000000001</v>
      </c>
      <c r="I31" s="29">
        <v>9449</v>
      </c>
      <c r="J31" s="29">
        <v>3127</v>
      </c>
      <c r="K31" s="28">
        <v>9.2799999999999994</v>
      </c>
      <c r="L31" s="30">
        <v>5.34</v>
      </c>
      <c r="M31" s="29">
        <v>850</v>
      </c>
      <c r="N31" s="29">
        <v>299</v>
      </c>
      <c r="O31" s="29">
        <v>977</v>
      </c>
      <c r="P31" s="29">
        <v>456</v>
      </c>
      <c r="Q31" s="31">
        <v>0.85</v>
      </c>
      <c r="R31" s="30">
        <v>10.199999999999999</v>
      </c>
      <c r="S31" s="32">
        <v>0.318</v>
      </c>
      <c r="T31" s="30">
        <v>137</v>
      </c>
      <c r="U31" s="33">
        <v>110</v>
      </c>
      <c r="V31" s="45">
        <v>345</v>
      </c>
      <c r="W31" s="45">
        <f t="shared" si="0"/>
        <v>0.82532382753065792</v>
      </c>
      <c r="X31" s="45">
        <f t="shared" si="1"/>
        <v>77.497907405128785</v>
      </c>
      <c r="Y31" s="45">
        <f t="shared" si="2"/>
        <v>93.632958801498134</v>
      </c>
      <c r="Z31" s="45">
        <f t="shared" si="3"/>
        <v>1.2081998332164197</v>
      </c>
      <c r="AA31" s="45">
        <f t="shared" si="4"/>
        <v>0.49</v>
      </c>
      <c r="AB31" s="45">
        <f t="shared" si="5"/>
        <v>1.476882377630115</v>
      </c>
      <c r="AC31" s="45">
        <f t="shared" si="6"/>
        <v>0.42987539206221742</v>
      </c>
      <c r="AD31" s="45">
        <f t="shared" si="7"/>
        <v>1631.3771128761155</v>
      </c>
      <c r="AE31" s="45" t="str">
        <f t="shared" si="8"/>
        <v>NO</v>
      </c>
      <c r="AF31" s="45"/>
      <c r="AG31" s="45"/>
      <c r="AH31" s="45"/>
      <c r="AI31" s="45"/>
      <c r="AJ31" s="45"/>
      <c r="AK31" s="45"/>
      <c r="AL31" s="45"/>
    </row>
    <row r="32" spans="1:38" x14ac:dyDescent="0.35">
      <c r="A32" s="27" t="s">
        <v>80</v>
      </c>
      <c r="B32" s="28">
        <v>71</v>
      </c>
      <c r="C32" s="28">
        <v>215.8</v>
      </c>
      <c r="D32" s="28">
        <v>206.4</v>
      </c>
      <c r="E32" s="28">
        <v>10</v>
      </c>
      <c r="F32" s="28">
        <v>17.3</v>
      </c>
      <c r="G32" s="28">
        <v>10.199999999999999</v>
      </c>
      <c r="H32" s="28">
        <v>160.80000000000001</v>
      </c>
      <c r="I32" s="29">
        <v>7618</v>
      </c>
      <c r="J32" s="29">
        <v>2537</v>
      </c>
      <c r="K32" s="28">
        <v>9.18</v>
      </c>
      <c r="L32" s="30">
        <v>5.3</v>
      </c>
      <c r="M32" s="29">
        <v>706</v>
      </c>
      <c r="N32" s="29">
        <v>246</v>
      </c>
      <c r="O32" s="29">
        <v>799</v>
      </c>
      <c r="P32" s="29">
        <v>374</v>
      </c>
      <c r="Q32" s="31">
        <v>0.85299999999999998</v>
      </c>
      <c r="R32" s="30">
        <v>11.9</v>
      </c>
      <c r="S32" s="32">
        <v>0.25</v>
      </c>
      <c r="T32" s="30">
        <v>80.2</v>
      </c>
      <c r="U32" s="33">
        <v>90.4</v>
      </c>
      <c r="V32" s="45">
        <v>345</v>
      </c>
      <c r="W32" s="45">
        <f t="shared" si="0"/>
        <v>0.82532382753065792</v>
      </c>
      <c r="X32" s="45">
        <f t="shared" si="1"/>
        <v>77.497907405128785</v>
      </c>
      <c r="Y32" s="45">
        <f t="shared" si="2"/>
        <v>94.339622641509436</v>
      </c>
      <c r="Z32" s="45">
        <f t="shared" si="3"/>
        <v>1.2173183225237134</v>
      </c>
      <c r="AA32" s="45">
        <f t="shared" si="4"/>
        <v>0.49</v>
      </c>
      <c r="AB32" s="45">
        <f t="shared" si="5"/>
        <v>1.4901749381942837</v>
      </c>
      <c r="AC32" s="45">
        <f t="shared" si="6"/>
        <v>0.4255889722794971</v>
      </c>
      <c r="AD32" s="45">
        <f t="shared" si="7"/>
        <v>1327.3268867452955</v>
      </c>
      <c r="AE32" s="45" t="str">
        <f t="shared" si="8"/>
        <v>NO</v>
      </c>
      <c r="AF32" s="45"/>
      <c r="AG32" s="45"/>
      <c r="AH32" s="45"/>
      <c r="AI32" s="45"/>
      <c r="AJ32" s="45"/>
      <c r="AK32" s="45"/>
      <c r="AL32" s="45"/>
    </row>
    <row r="33" spans="1:38" x14ac:dyDescent="0.35">
      <c r="A33" s="27" t="s">
        <v>81</v>
      </c>
      <c r="B33" s="28">
        <v>60</v>
      </c>
      <c r="C33" s="28">
        <v>209.6</v>
      </c>
      <c r="D33" s="28">
        <v>205.8</v>
      </c>
      <c r="E33" s="28">
        <v>9.4</v>
      </c>
      <c r="F33" s="28">
        <v>14.2</v>
      </c>
      <c r="G33" s="28">
        <v>10.199999999999999</v>
      </c>
      <c r="H33" s="28">
        <v>160.80000000000001</v>
      </c>
      <c r="I33" s="29">
        <v>6125</v>
      </c>
      <c r="J33" s="29">
        <v>2065</v>
      </c>
      <c r="K33" s="28">
        <v>8.9600000000000009</v>
      </c>
      <c r="L33" s="30">
        <v>5.2</v>
      </c>
      <c r="M33" s="29">
        <v>584</v>
      </c>
      <c r="N33" s="29">
        <v>201</v>
      </c>
      <c r="O33" s="29">
        <v>656</v>
      </c>
      <c r="P33" s="29">
        <v>305</v>
      </c>
      <c r="Q33" s="31">
        <v>0.84599999999999997</v>
      </c>
      <c r="R33" s="30">
        <v>14.1</v>
      </c>
      <c r="S33" s="32">
        <v>0.19700000000000001</v>
      </c>
      <c r="T33" s="30">
        <v>4702</v>
      </c>
      <c r="U33" s="33">
        <v>76.400000000000006</v>
      </c>
      <c r="V33" s="45">
        <v>355</v>
      </c>
      <c r="W33" s="45">
        <f t="shared" si="0"/>
        <v>0.81361651346682706</v>
      </c>
      <c r="X33" s="45">
        <f t="shared" si="1"/>
        <v>76.398590614535067</v>
      </c>
      <c r="Y33" s="45">
        <f t="shared" si="2"/>
        <v>96.153846153846146</v>
      </c>
      <c r="Z33" s="45">
        <f t="shared" si="3"/>
        <v>1.2585814133533582</v>
      </c>
      <c r="AA33" s="45">
        <f t="shared" si="4"/>
        <v>0.49</v>
      </c>
      <c r="AB33" s="45">
        <f t="shared" si="5"/>
        <v>1.551366033290841</v>
      </c>
      <c r="AC33" s="45">
        <f t="shared" si="6"/>
        <v>0.40676874142099684</v>
      </c>
      <c r="AD33" s="45">
        <f t="shared" si="7"/>
        <v>1103.2381804820275</v>
      </c>
      <c r="AE33" s="45" t="str">
        <f t="shared" si="8"/>
        <v>NO</v>
      </c>
      <c r="AF33" s="45"/>
      <c r="AG33" s="45"/>
      <c r="AH33" s="45"/>
      <c r="AI33" s="45"/>
      <c r="AJ33" s="45"/>
      <c r="AK33" s="45"/>
      <c r="AL33" s="45"/>
    </row>
    <row r="34" spans="1:38" x14ac:dyDescent="0.35">
      <c r="A34" s="27" t="s">
        <v>82</v>
      </c>
      <c r="B34" s="28">
        <v>52</v>
      </c>
      <c r="C34" s="28">
        <v>206.2</v>
      </c>
      <c r="D34" s="28">
        <v>204.3</v>
      </c>
      <c r="E34" s="28">
        <v>7.9</v>
      </c>
      <c r="F34" s="28">
        <v>12.5</v>
      </c>
      <c r="G34" s="28">
        <v>10.199999999999999</v>
      </c>
      <c r="H34" s="28">
        <v>160.80000000000001</v>
      </c>
      <c r="I34" s="29">
        <v>5259</v>
      </c>
      <c r="J34" s="29">
        <v>1778</v>
      </c>
      <c r="K34" s="28">
        <v>8.91</v>
      </c>
      <c r="L34" s="30">
        <v>5.18</v>
      </c>
      <c r="M34" s="29">
        <v>510</v>
      </c>
      <c r="N34" s="29">
        <v>174</v>
      </c>
      <c r="O34" s="29">
        <v>567</v>
      </c>
      <c r="P34" s="29">
        <v>264</v>
      </c>
      <c r="Q34" s="31">
        <v>0.84799999999999998</v>
      </c>
      <c r="R34" s="30">
        <v>15.8</v>
      </c>
      <c r="S34" s="32">
        <v>0.16700000000000001</v>
      </c>
      <c r="T34" s="30">
        <v>31.8</v>
      </c>
      <c r="U34" s="33">
        <v>66.3</v>
      </c>
      <c r="V34" s="45">
        <v>355</v>
      </c>
      <c r="W34" s="45">
        <f t="shared" si="0"/>
        <v>0.81361651346682706</v>
      </c>
      <c r="X34" s="45">
        <f t="shared" si="1"/>
        <v>76.398590614535067</v>
      </c>
      <c r="Y34" s="45">
        <f t="shared" si="2"/>
        <v>96.525096525096529</v>
      </c>
      <c r="Z34" s="45">
        <f t="shared" si="3"/>
        <v>1.2634408010497034</v>
      </c>
      <c r="AA34" s="45">
        <f t="shared" si="4"/>
        <v>0.49</v>
      </c>
      <c r="AB34" s="45">
        <f t="shared" si="5"/>
        <v>1.5586843251357352</v>
      </c>
      <c r="AC34" s="45">
        <f t="shared" si="6"/>
        <v>0.40461422347667542</v>
      </c>
      <c r="AD34" s="45">
        <f t="shared" si="7"/>
        <v>952.32026708587716</v>
      </c>
      <c r="AE34" s="45" t="str">
        <f t="shared" si="8"/>
        <v>NO</v>
      </c>
      <c r="AF34" s="45"/>
      <c r="AG34" s="45"/>
      <c r="AH34" s="45"/>
      <c r="AI34" s="45"/>
      <c r="AJ34" s="45"/>
      <c r="AK34" s="45"/>
      <c r="AL34" s="45"/>
    </row>
    <row r="35" spans="1:38" x14ac:dyDescent="0.35">
      <c r="A35" s="27" t="s">
        <v>83</v>
      </c>
      <c r="B35" s="28">
        <v>46.1</v>
      </c>
      <c r="C35" s="28">
        <v>203.2</v>
      </c>
      <c r="D35" s="28">
        <v>203.6</v>
      </c>
      <c r="E35" s="28">
        <v>7.2</v>
      </c>
      <c r="F35" s="28">
        <v>11</v>
      </c>
      <c r="G35" s="28">
        <v>10.199999999999999</v>
      </c>
      <c r="H35" s="28">
        <v>160.80000000000001</v>
      </c>
      <c r="I35" s="29">
        <v>4568</v>
      </c>
      <c r="J35" s="29">
        <v>1548</v>
      </c>
      <c r="K35" s="28">
        <v>8.82</v>
      </c>
      <c r="L35" s="30">
        <v>5.13</v>
      </c>
      <c r="M35" s="29">
        <v>450</v>
      </c>
      <c r="N35" s="29">
        <v>152</v>
      </c>
      <c r="O35" s="29">
        <v>497</v>
      </c>
      <c r="P35" s="29">
        <v>231</v>
      </c>
      <c r="Q35" s="31">
        <v>0.84699999999999998</v>
      </c>
      <c r="R35" s="30">
        <v>17.7</v>
      </c>
      <c r="S35" s="32">
        <v>0.14299999999999999</v>
      </c>
      <c r="T35" s="30">
        <v>22.2</v>
      </c>
      <c r="U35" s="33">
        <v>58.7</v>
      </c>
      <c r="V35" s="45">
        <v>355</v>
      </c>
      <c r="W35" s="45">
        <f t="shared" si="0"/>
        <v>0.81361651346682706</v>
      </c>
      <c r="X35" s="45">
        <f t="shared" si="1"/>
        <v>76.398590614535067</v>
      </c>
      <c r="Y35" s="45">
        <f t="shared" si="2"/>
        <v>97.465886939571149</v>
      </c>
      <c r="Z35" s="45">
        <f t="shared" si="3"/>
        <v>1.2757550388766985</v>
      </c>
      <c r="AA35" s="45">
        <f t="shared" si="4"/>
        <v>0.49</v>
      </c>
      <c r="AB35" s="45">
        <f t="shared" si="5"/>
        <v>1.5773354441344343</v>
      </c>
      <c r="AC35" s="45">
        <f t="shared" si="6"/>
        <v>0.39921236381412678</v>
      </c>
      <c r="AD35" s="45">
        <f t="shared" si="7"/>
        <v>831.89868433406821</v>
      </c>
      <c r="AE35" s="45" t="str">
        <f t="shared" si="8"/>
        <v>NO</v>
      </c>
      <c r="AF35" s="45"/>
      <c r="AG35" s="45"/>
      <c r="AH35" s="45"/>
      <c r="AI35" s="45"/>
      <c r="AJ35" s="45"/>
      <c r="AK35" s="45"/>
      <c r="AL35" s="45"/>
    </row>
    <row r="36" spans="1:38" x14ac:dyDescent="0.35">
      <c r="A36" s="27" t="s">
        <v>84</v>
      </c>
      <c r="B36" s="28">
        <v>37</v>
      </c>
      <c r="C36" s="28">
        <v>161.80000000000001</v>
      </c>
      <c r="D36" s="28">
        <v>154.4</v>
      </c>
      <c r="E36" s="28">
        <v>8</v>
      </c>
      <c r="F36" s="28">
        <v>11.5</v>
      </c>
      <c r="G36" s="28">
        <v>7.6</v>
      </c>
      <c r="H36" s="28">
        <v>123.6</v>
      </c>
      <c r="I36" s="29">
        <v>2210</v>
      </c>
      <c r="J36" s="29">
        <v>706</v>
      </c>
      <c r="K36" s="28">
        <v>6.85</v>
      </c>
      <c r="L36" s="30">
        <v>3.87</v>
      </c>
      <c r="M36" s="29">
        <v>273</v>
      </c>
      <c r="N36" s="29">
        <v>91.5</v>
      </c>
      <c r="O36" s="29">
        <v>309</v>
      </c>
      <c r="P36" s="29">
        <v>140</v>
      </c>
      <c r="Q36" s="31">
        <v>0.84799999999999998</v>
      </c>
      <c r="R36" s="30">
        <v>13.3</v>
      </c>
      <c r="S36" s="32">
        <v>3.9899999999999998E-2</v>
      </c>
      <c r="T36" s="30">
        <v>19.2</v>
      </c>
      <c r="U36" s="33">
        <v>47.1</v>
      </c>
      <c r="V36" s="45">
        <v>355</v>
      </c>
      <c r="W36" s="45">
        <f t="shared" si="0"/>
        <v>0.81361651346682706</v>
      </c>
      <c r="X36" s="45">
        <f t="shared" si="1"/>
        <v>76.398590614535067</v>
      </c>
      <c r="Y36" s="45">
        <f t="shared" si="2"/>
        <v>129.19896640826872</v>
      </c>
      <c r="Z36" s="45">
        <f t="shared" si="3"/>
        <v>1.6911171445574837</v>
      </c>
      <c r="AA36" s="45">
        <f t="shared" si="4"/>
        <v>0.49</v>
      </c>
      <c r="AB36" s="45">
        <f t="shared" si="5"/>
        <v>2.2952622987247122</v>
      </c>
      <c r="AC36" s="45">
        <f t="shared" si="6"/>
        <v>0.25993275610933669</v>
      </c>
      <c r="AD36" s="45">
        <f t="shared" si="7"/>
        <v>434.62056485261644</v>
      </c>
      <c r="AE36" s="45" t="str">
        <f t="shared" si="8"/>
        <v>NO</v>
      </c>
      <c r="AF36" s="45"/>
      <c r="AG36" s="45"/>
      <c r="AH36" s="45"/>
      <c r="AI36" s="45"/>
      <c r="AJ36" s="45"/>
      <c r="AK36" s="45"/>
      <c r="AL36" s="45"/>
    </row>
    <row r="37" spans="1:38" x14ac:dyDescent="0.35">
      <c r="A37" s="27" t="s">
        <v>85</v>
      </c>
      <c r="B37" s="28">
        <v>30</v>
      </c>
      <c r="C37" s="28">
        <v>157.6</v>
      </c>
      <c r="D37" s="28">
        <v>152.9</v>
      </c>
      <c r="E37" s="28">
        <v>6.5</v>
      </c>
      <c r="F37" s="28">
        <v>9.4</v>
      </c>
      <c r="G37" s="28">
        <v>7.6</v>
      </c>
      <c r="H37" s="28">
        <v>123.6</v>
      </c>
      <c r="I37" s="29">
        <v>1748</v>
      </c>
      <c r="J37" s="29">
        <v>560</v>
      </c>
      <c r="K37" s="28">
        <v>6.76</v>
      </c>
      <c r="L37" s="30">
        <v>3.83</v>
      </c>
      <c r="M37" s="29">
        <v>222</v>
      </c>
      <c r="N37" s="29">
        <v>73.3</v>
      </c>
      <c r="O37" s="29">
        <v>248</v>
      </c>
      <c r="P37" s="29">
        <v>112</v>
      </c>
      <c r="Q37" s="31">
        <v>0.84899999999999998</v>
      </c>
      <c r="R37" s="30">
        <v>16</v>
      </c>
      <c r="S37" s="32">
        <v>3.0800000000000001E-2</v>
      </c>
      <c r="T37" s="30">
        <v>10.5</v>
      </c>
      <c r="U37" s="33">
        <v>38.299999999999997</v>
      </c>
      <c r="V37" s="45">
        <v>355</v>
      </c>
      <c r="W37" s="45">
        <f t="shared" si="0"/>
        <v>0.81361651346682706</v>
      </c>
      <c r="X37" s="45">
        <f t="shared" si="1"/>
        <v>76.398590614535067</v>
      </c>
      <c r="Y37" s="45">
        <f t="shared" si="2"/>
        <v>130.54830287206266</v>
      </c>
      <c r="Z37" s="45">
        <f t="shared" si="3"/>
        <v>1.7087789424118702</v>
      </c>
      <c r="AA37" s="45">
        <f t="shared" si="4"/>
        <v>0.49</v>
      </c>
      <c r="AB37" s="45">
        <f t="shared" si="5"/>
        <v>2.3296135779060232</v>
      </c>
      <c r="AC37" s="45">
        <f t="shared" si="6"/>
        <v>0.25555712909649325</v>
      </c>
      <c r="AD37" s="45">
        <f t="shared" si="7"/>
        <v>347.46825057604701</v>
      </c>
      <c r="AE37" s="45" t="str">
        <f t="shared" si="8"/>
        <v>NO</v>
      </c>
      <c r="AF37" s="45"/>
      <c r="AG37" s="45"/>
      <c r="AH37" s="45"/>
      <c r="AI37" s="45"/>
      <c r="AJ37" s="45"/>
      <c r="AK37" s="45"/>
      <c r="AL37" s="45"/>
    </row>
    <row r="38" spans="1:38" ht="13.15" thickBot="1" x14ac:dyDescent="0.4">
      <c r="A38" s="14" t="s">
        <v>86</v>
      </c>
      <c r="B38" s="15">
        <v>23</v>
      </c>
      <c r="C38" s="15">
        <v>152.4</v>
      </c>
      <c r="D38" s="15">
        <v>152.19999999999999</v>
      </c>
      <c r="E38" s="15">
        <v>5.8</v>
      </c>
      <c r="F38" s="15">
        <v>6.8</v>
      </c>
      <c r="G38" s="15">
        <v>7.6</v>
      </c>
      <c r="H38" s="15">
        <v>123.6</v>
      </c>
      <c r="I38" s="16">
        <v>1250</v>
      </c>
      <c r="J38" s="16">
        <v>400</v>
      </c>
      <c r="K38" s="15">
        <v>6.54</v>
      </c>
      <c r="L38" s="17">
        <v>3.7</v>
      </c>
      <c r="M38" s="16">
        <v>164</v>
      </c>
      <c r="N38" s="16">
        <v>52.6</v>
      </c>
      <c r="O38" s="16">
        <v>182</v>
      </c>
      <c r="P38" s="16">
        <v>80.2</v>
      </c>
      <c r="Q38" s="18">
        <v>0.84</v>
      </c>
      <c r="R38" s="17">
        <v>20.7</v>
      </c>
      <c r="S38" s="19">
        <v>2.12E-2</v>
      </c>
      <c r="T38" s="17">
        <v>4.63</v>
      </c>
      <c r="U38" s="34">
        <v>29.2</v>
      </c>
      <c r="V38" s="45">
        <v>355</v>
      </c>
      <c r="W38" s="45">
        <f t="shared" si="0"/>
        <v>0.81361651346682706</v>
      </c>
      <c r="X38" s="45">
        <f t="shared" si="1"/>
        <v>76.398590614535067</v>
      </c>
      <c r="Y38" s="45">
        <f t="shared" si="2"/>
        <v>135.13513513513513</v>
      </c>
      <c r="Z38" s="45">
        <f t="shared" si="3"/>
        <v>1.7688171214695845</v>
      </c>
      <c r="AA38" s="45">
        <f t="shared" si="4"/>
        <v>0.49</v>
      </c>
      <c r="AB38" s="45">
        <f t="shared" si="5"/>
        <v>2.4487171993620214</v>
      </c>
      <c r="AC38" s="45">
        <f t="shared" si="6"/>
        <v>0.24142417940061764</v>
      </c>
      <c r="AD38" s="45">
        <f t="shared" si="7"/>
        <v>250.26030436668023</v>
      </c>
      <c r="AE38" s="45" t="str">
        <f t="shared" si="8"/>
        <v>NO</v>
      </c>
      <c r="AF38" s="45"/>
      <c r="AG38" s="45"/>
      <c r="AH38" s="45"/>
      <c r="AI38" s="45"/>
      <c r="AJ38" s="45"/>
      <c r="AK38" s="45"/>
      <c r="AL38" s="45"/>
    </row>
    <row r="39" spans="1:38" x14ac:dyDescent="0.35">
      <c r="AF39" s="4">
        <f>IF(MIN(AF8:AF38)=0,"",MIN(AF8:AF38))</f>
        <v>645</v>
      </c>
      <c r="AG39" s="4">
        <f>IF(MIN(AG8:AG38)=0,"",MIN(AG8:AG38))</f>
        <v>709.50000000000011</v>
      </c>
      <c r="AH39" s="4">
        <f t="shared" ref="AH39" si="9">MIN(AH8:AH38)</f>
        <v>766.35</v>
      </c>
    </row>
    <row r="40" spans="1:38" x14ac:dyDescent="0.3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AF40" s="4" t="str">
        <f>INDEX($A$8:$A$38,MATCH(AF39,AF8:AF38,0),1)</f>
        <v>356 x 368 x 129</v>
      </c>
      <c r="AG40" s="4" t="str">
        <f t="shared" ref="AG40:AH40" si="10">INDEX($A$8:$A$38,MATCH(AG39,AG8:AG38,0),1)</f>
        <v>356 x 368 x 129</v>
      </c>
      <c r="AH40" s="4" t="str">
        <f t="shared" si="10"/>
        <v>305 x 305 x 118</v>
      </c>
    </row>
    <row r="41" spans="1:38" x14ac:dyDescent="0.3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</row>
    <row r="42" spans="1:38" x14ac:dyDescent="0.3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</row>
    <row r="43" spans="1:38" x14ac:dyDescent="0.3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38" x14ac:dyDescent="0.3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</row>
    <row r="45" spans="1:38" x14ac:dyDescent="0.3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38" x14ac:dyDescent="0.3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</row>
    <row r="47" spans="1:38" x14ac:dyDescent="0.3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</row>
  </sheetData>
  <mergeCells count="15">
    <mergeCell ref="AF6:AH6"/>
    <mergeCell ref="A4:A5"/>
    <mergeCell ref="AD3:AF3"/>
    <mergeCell ref="AD2:AF2"/>
    <mergeCell ref="AD4:AF4"/>
    <mergeCell ref="AD5:AF5"/>
    <mergeCell ref="I2:J2"/>
    <mergeCell ref="K2:L2"/>
    <mergeCell ref="M2:N2"/>
    <mergeCell ref="O2:P2"/>
    <mergeCell ref="E1:F1"/>
    <mergeCell ref="I1:J1"/>
    <mergeCell ref="K1:L1"/>
    <mergeCell ref="M1:N1"/>
    <mergeCell ref="O1:P1"/>
  </mergeCells>
  <phoneticPr fontId="6" type="noConversion"/>
  <conditionalFormatting sqref="AE7:AE38">
    <cfRule type="containsText" dxfId="0" priority="1" operator="containsText" text="YES">
      <formula>NOT(ISERROR(SEARCH("YES",AE7)))</formula>
    </cfRule>
  </conditionalFormatting>
  <dataValidations count="1">
    <dataValidation type="list" allowBlank="1" showInputMessage="1" showErrorMessage="1" sqref="A7:A38" xr:uid="{8126919B-157D-413A-A0CD-680CD160F227}">
      <formula1>ucsection</formula1>
    </dataValidation>
  </dataValidations>
  <pageMargins left="0.55118110236220474" right="0.55118110236220474" top="0.59055118110236227" bottom="0.59055118110236227" header="0.51181102362204722" footer="0.51181102362204722"/>
  <pageSetup paperSize="9" scale="7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模块3.FindBestLTB_235">
                <anchor moveWithCells="1" sizeWithCells="1">
                  <from>
                    <xdr:col>24</xdr:col>
                    <xdr:colOff>409575</xdr:colOff>
                    <xdr:row>2</xdr:row>
                    <xdr:rowOff>4763</xdr:rowOff>
                  </from>
                  <to>
                    <xdr:col>25</xdr:col>
                    <xdr:colOff>495300</xdr:colOff>
                    <xdr:row>4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5" name="Button 17">
              <controlPr defaultSize="0" print="0" autoFill="0" autoPict="0" macro="[0]!FindBestLTB_275">
                <anchor moveWithCells="1" sizeWithCells="1">
                  <from>
                    <xdr:col>25</xdr:col>
                    <xdr:colOff>604838</xdr:colOff>
                    <xdr:row>2</xdr:row>
                    <xdr:rowOff>4763</xdr:rowOff>
                  </from>
                  <to>
                    <xdr:col>26</xdr:col>
                    <xdr:colOff>690563</xdr:colOff>
                    <xdr:row>4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FindBestLTB_355">
                <anchor moveWithCells="1" sizeWithCells="1">
                  <from>
                    <xdr:col>27</xdr:col>
                    <xdr:colOff>95250</xdr:colOff>
                    <xdr:row>2</xdr:row>
                    <xdr:rowOff>4763</xdr:rowOff>
                  </from>
                  <to>
                    <xdr:col>28</xdr:col>
                    <xdr:colOff>138113</xdr:colOff>
                    <xdr:row>4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E1AD08E6C4EC4C99DA94898F3BEEA6" ma:contentTypeVersion="5" ma:contentTypeDescription="Create a new document." ma:contentTypeScope="" ma:versionID="545fea4bbc344584c56d60ad7d26c759">
  <xsd:schema xmlns:xsd="http://www.w3.org/2001/XMLSchema" xmlns:xs="http://www.w3.org/2001/XMLSchema" xmlns:p="http://schemas.microsoft.com/office/2006/metadata/properties" xmlns:ns2="9d87457a-dd41-435b-9930-4d78cdfcb6d7" xmlns:ns3="58b89f83-7267-4e05-9cc9-553559b8ec9f" targetNamespace="http://schemas.microsoft.com/office/2006/metadata/properties" ma:root="true" ma:fieldsID="f61535734f44cf3d390f8aed9773efef" ns2:_="" ns3:_="">
    <xsd:import namespace="9d87457a-dd41-435b-9930-4d78cdfcb6d7"/>
    <xsd:import namespace="58b89f83-7267-4e05-9cc9-553559b8ec9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87457a-dd41-435b-9930-4d78cdfcb6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b89f83-7267-4e05-9cc9-553559b8ec9f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8A5110-FA9D-4885-9BBA-63B5AF799D0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A43680E-64DB-466B-BAD8-85854BFB55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87457a-dd41-435b-9930-4d78cdfcb6d7"/>
    <ds:schemaRef ds:uri="58b89f83-7267-4e05-9cc9-553559b8ec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10B3BF8-1796-48FE-B047-2B230F4BE4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5</vt:i4>
      </vt:variant>
    </vt:vector>
  </HeadingPairs>
  <TitlesOfParts>
    <vt:vector size="9" baseType="lpstr">
      <vt:lpstr>UC</vt:lpstr>
      <vt:lpstr>Steel</vt:lpstr>
      <vt:lpstr>Part 1</vt:lpstr>
      <vt:lpstr>Part2</vt:lpstr>
      <vt:lpstr>Lcr</vt:lpstr>
      <vt:lpstr>Part2!UCDC</vt:lpstr>
      <vt:lpstr>UCDC</vt:lpstr>
      <vt:lpstr>Part2!ucsection</vt:lpstr>
      <vt:lpstr>ucsection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Mackie</dc:creator>
  <cp:lastModifiedBy>1 warriorlago</cp:lastModifiedBy>
  <dcterms:created xsi:type="dcterms:W3CDTF">2018-06-28T14:37:59Z</dcterms:created>
  <dcterms:modified xsi:type="dcterms:W3CDTF">2023-12-18T12:32:02Z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0x010100C7E1AD08E6C4EC4C99DA94898F3BEEA6</vt:lpwstr>
  </property>
</Properties>
</file>